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conquerstrading-my.sharepoint.com/personal/numbers_conquerstrading_com/Documents/Documentos/INVENTARIO/"/>
    </mc:Choice>
  </mc:AlternateContent>
  <xr:revisionPtr revIDLastSave="2" documentId="11_E5F85E8408FC410A54739A4EA55E3C9111A84553" xr6:coauthVersionLast="47" xr6:coauthVersionMax="47" xr10:uidLastSave="{7D34A5BA-A6C9-48B8-8AA7-7B97CB48EF62}"/>
  <bookViews>
    <workbookView xWindow="-110" yWindow="-110" windowWidth="19420" windowHeight="11500" xr2:uid="{00000000-000D-0000-FFFF-FFFF00000000}"/>
  </bookViews>
  <sheets>
    <sheet name="Resultados" sheetId="1" r:id="rId1"/>
    <sheet name="LLEGADA" sheetId="2" r:id="rId2"/>
    <sheet name="COMPRAS" sheetId="3" r:id="rId3"/>
    <sheet name="PuertosLlegada" sheetId="4" r:id="rId4"/>
    <sheet name="ECONOMICOS" sheetId="5" r:id="rId5"/>
    <sheet name="LISTAS" sheetId="6" state="hidden" r:id="rId6"/>
  </sheets>
  <definedNames>
    <definedName name="BB_Energy">LISTAS!$F$30:$F$31</definedName>
    <definedName name="BRENT">ECONOMICOS!$B$2</definedName>
    <definedName name="Ecopetrol">LISTAS!$G$30:$G$32</definedName>
    <definedName name="GUNVOR">LISTAS!$E$30:$E$31</definedName>
    <definedName name="GUNVOR_Mediano">LISTAS!$H$30:$H$31</definedName>
    <definedName name="PALERMO">LISTAS!$G$8:$G$14</definedName>
    <definedName name="PETROMIL">LISTAS!$H$8:$H$10</definedName>
    <definedName name="Proveedor">LISTAS!$D$30:$D$33</definedName>
    <definedName name="PUERTO_BAHIA">LISTAS!$F$8</definedName>
    <definedName name="PUERTOS">LISTAS!$C$8:$C$12</definedName>
    <definedName name="SPD">LISTAS!$E$8:$E$13</definedName>
    <definedName name="TRM">ECONOMICOS!$B$3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" i="1" l="1"/>
  <c r="N23" i="4"/>
  <c r="J23" i="4"/>
  <c r="I23" i="4"/>
  <c r="H23" i="4"/>
  <c r="G23" i="4"/>
  <c r="F23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G17" i="3"/>
  <c r="B17" i="3" s="1"/>
  <c r="G16" i="3"/>
  <c r="B16" i="3"/>
  <c r="B15" i="3"/>
  <c r="N14" i="3"/>
  <c r="G14" i="2" s="1"/>
  <c r="M14" i="3"/>
  <c r="L14" i="3"/>
  <c r="J14" i="3"/>
  <c r="G14" i="3"/>
  <c r="B14" i="3" s="1"/>
  <c r="D14" i="2" s="1"/>
  <c r="N13" i="3"/>
  <c r="M13" i="3"/>
  <c r="L13" i="3"/>
  <c r="J13" i="3"/>
  <c r="G13" i="3"/>
  <c r="B13" i="3"/>
  <c r="N12" i="3"/>
  <c r="L12" i="3"/>
  <c r="M12" i="3" s="1"/>
  <c r="J12" i="3"/>
  <c r="G12" i="3"/>
  <c r="B12" i="3" s="1"/>
  <c r="D12" i="2" s="1"/>
  <c r="N11" i="3"/>
  <c r="L11" i="3"/>
  <c r="M11" i="3" s="1"/>
  <c r="J11" i="3"/>
  <c r="G11" i="3"/>
  <c r="B11" i="3" s="1"/>
  <c r="N10" i="3"/>
  <c r="M10" i="3"/>
  <c r="L10" i="3"/>
  <c r="J10" i="3"/>
  <c r="G10" i="3"/>
  <c r="B10" i="3" s="1"/>
  <c r="D10" i="2" s="1"/>
  <c r="N9" i="3"/>
  <c r="L9" i="3"/>
  <c r="M9" i="3" s="1"/>
  <c r="J9" i="3"/>
  <c r="G9" i="3"/>
  <c r="B9" i="3" s="1"/>
  <c r="D9" i="2" s="1"/>
  <c r="N8" i="3"/>
  <c r="L8" i="3"/>
  <c r="M8" i="3" s="1"/>
  <c r="J8" i="3"/>
  <c r="G8" i="3"/>
  <c r="B8" i="3" s="1"/>
  <c r="N7" i="3"/>
  <c r="M7" i="3"/>
  <c r="L7" i="3"/>
  <c r="J7" i="3"/>
  <c r="G7" i="3"/>
  <c r="B7" i="3" s="1"/>
  <c r="N6" i="3"/>
  <c r="L6" i="3"/>
  <c r="M6" i="3" s="1"/>
  <c r="J6" i="3"/>
  <c r="G6" i="3"/>
  <c r="B6" i="3" s="1"/>
  <c r="N5" i="3"/>
  <c r="L5" i="3"/>
  <c r="M5" i="3" s="1"/>
  <c r="J5" i="3"/>
  <c r="G5" i="3"/>
  <c r="B5" i="3" s="1"/>
  <c r="N4" i="3"/>
  <c r="L4" i="3"/>
  <c r="M4" i="3" s="1"/>
  <c r="J4" i="3"/>
  <c r="G4" i="3"/>
  <c r="B4" i="3" s="1"/>
  <c r="N3" i="3"/>
  <c r="L3" i="3"/>
  <c r="M3" i="3" s="1"/>
  <c r="J3" i="3"/>
  <c r="G3" i="3"/>
  <c r="B3" i="3" s="1"/>
  <c r="N2" i="3"/>
  <c r="L2" i="3"/>
  <c r="M2" i="3" s="1"/>
  <c r="J2" i="3"/>
  <c r="G2" i="3"/>
  <c r="B2" i="3" s="1"/>
  <c r="X17" i="2"/>
  <c r="W17" i="2"/>
  <c r="V17" i="2"/>
  <c r="U17" i="2"/>
  <c r="T17" i="2"/>
  <c r="R17" i="2"/>
  <c r="Q17" i="2"/>
  <c r="P17" i="2"/>
  <c r="O17" i="2"/>
  <c r="L17" i="2"/>
  <c r="S17" i="2" s="1"/>
  <c r="J17" i="2"/>
  <c r="K17" i="2" s="1"/>
  <c r="V16" i="2"/>
  <c r="U16" i="2"/>
  <c r="W16" i="2" s="1"/>
  <c r="X16" i="2" s="1"/>
  <c r="T16" i="2"/>
  <c r="R16" i="2" s="1"/>
  <c r="Q16" i="2"/>
  <c r="P16" i="2"/>
  <c r="O16" i="2"/>
  <c r="J16" i="2"/>
  <c r="L16" i="2" s="1"/>
  <c r="N16" i="2" s="1"/>
  <c r="V15" i="2"/>
  <c r="U15" i="2"/>
  <c r="W15" i="2" s="1"/>
  <c r="X15" i="2" s="1"/>
  <c r="T15" i="2"/>
  <c r="R15" i="2" s="1"/>
  <c r="Q15" i="2"/>
  <c r="P15" i="2"/>
  <c r="O15" i="2"/>
  <c r="J15" i="2"/>
  <c r="K15" i="2" s="1"/>
  <c r="M15" i="2" s="1"/>
  <c r="V14" i="2"/>
  <c r="U14" i="2"/>
  <c r="T14" i="2"/>
  <c r="Q14" i="2"/>
  <c r="P14" i="2"/>
  <c r="O14" i="2"/>
  <c r="J14" i="2"/>
  <c r="L14" i="2" s="1"/>
  <c r="C14" i="2"/>
  <c r="A14" i="2"/>
  <c r="F14" i="2" s="1"/>
  <c r="V13" i="2"/>
  <c r="T13" i="2"/>
  <c r="Q13" i="2"/>
  <c r="P13" i="2"/>
  <c r="O13" i="2"/>
  <c r="J13" i="2"/>
  <c r="A13" i="2"/>
  <c r="V12" i="2"/>
  <c r="U12" i="2"/>
  <c r="W12" i="2" s="1"/>
  <c r="X12" i="2" s="1"/>
  <c r="T12" i="2"/>
  <c r="Q12" i="2"/>
  <c r="P12" i="2"/>
  <c r="O12" i="2"/>
  <c r="J12" i="2"/>
  <c r="K12" i="2" s="1"/>
  <c r="M12" i="2" s="1"/>
  <c r="G12" i="2"/>
  <c r="F12" i="2"/>
  <c r="E12" i="2"/>
  <c r="C12" i="2"/>
  <c r="A12" i="2"/>
  <c r="V11" i="2"/>
  <c r="U11" i="2"/>
  <c r="T11" i="2"/>
  <c r="Q11" i="2"/>
  <c r="P11" i="2"/>
  <c r="O11" i="2"/>
  <c r="J11" i="2"/>
  <c r="L11" i="2" s="1"/>
  <c r="A11" i="2"/>
  <c r="V10" i="2"/>
  <c r="U10" i="2"/>
  <c r="T10" i="2"/>
  <c r="Q10" i="2"/>
  <c r="P10" i="2"/>
  <c r="O10" i="2"/>
  <c r="J10" i="2"/>
  <c r="G10" i="2"/>
  <c r="R10" i="2" s="1"/>
  <c r="F10" i="2"/>
  <c r="E10" i="2"/>
  <c r="W10" i="2" s="1"/>
  <c r="C10" i="2"/>
  <c r="A10" i="2"/>
  <c r="V9" i="2"/>
  <c r="U9" i="2"/>
  <c r="W9" i="2" s="1"/>
  <c r="X9" i="2" s="1"/>
  <c r="T9" i="2"/>
  <c r="Q9" i="2"/>
  <c r="P9" i="2"/>
  <c r="O9" i="2"/>
  <c r="J9" i="2"/>
  <c r="F9" i="2"/>
  <c r="E9" i="2"/>
  <c r="C9" i="2"/>
  <c r="A9" i="2"/>
  <c r="G9" i="2" s="1"/>
  <c r="V8" i="2"/>
  <c r="U8" i="2"/>
  <c r="T8" i="2"/>
  <c r="Q8" i="2"/>
  <c r="P8" i="2"/>
  <c r="O8" i="2"/>
  <c r="J8" i="2"/>
  <c r="G8" i="2"/>
  <c r="A8" i="2"/>
  <c r="V7" i="2"/>
  <c r="U7" i="2"/>
  <c r="T7" i="2"/>
  <c r="Q7" i="2"/>
  <c r="P7" i="2"/>
  <c r="O7" i="2"/>
  <c r="J7" i="2"/>
  <c r="A7" i="2"/>
  <c r="F7" i="2" s="1"/>
  <c r="V6" i="2"/>
  <c r="T6" i="2"/>
  <c r="Q6" i="2"/>
  <c r="P6" i="2"/>
  <c r="O6" i="2"/>
  <c r="J6" i="2"/>
  <c r="A6" i="2"/>
  <c r="F6" i="2" s="1"/>
  <c r="V5" i="2"/>
  <c r="U5" i="2"/>
  <c r="T5" i="2"/>
  <c r="Q5" i="2"/>
  <c r="P5" i="2"/>
  <c r="O5" i="2"/>
  <c r="J5" i="2"/>
  <c r="L5" i="2" s="1"/>
  <c r="G5" i="2"/>
  <c r="F5" i="2"/>
  <c r="A5" i="2"/>
  <c r="E5" i="2" s="1"/>
  <c r="W5" i="2" s="1"/>
  <c r="M5" i="1" s="1"/>
  <c r="X5" i="1" s="1"/>
  <c r="V4" i="2"/>
  <c r="U4" i="2"/>
  <c r="T4" i="2"/>
  <c r="Q4" i="2"/>
  <c r="P4" i="2"/>
  <c r="O4" i="2"/>
  <c r="J4" i="2"/>
  <c r="L4" i="2" s="1"/>
  <c r="S4" i="2" s="1"/>
  <c r="F4" i="2"/>
  <c r="E4" i="2"/>
  <c r="D4" i="2"/>
  <c r="C4" i="2"/>
  <c r="A4" i="2"/>
  <c r="G4" i="2" s="1"/>
  <c r="X3" i="2"/>
  <c r="V3" i="2"/>
  <c r="U3" i="2"/>
  <c r="T3" i="2"/>
  <c r="Q3" i="2"/>
  <c r="P3" i="2"/>
  <c r="O3" i="2"/>
  <c r="J3" i="2"/>
  <c r="K3" i="2" s="1"/>
  <c r="G3" i="2"/>
  <c r="R3" i="2" s="1"/>
  <c r="F3" i="2"/>
  <c r="C3" i="2"/>
  <c r="A3" i="2"/>
  <c r="E3" i="2" s="1"/>
  <c r="W3" i="2" s="1"/>
  <c r="V2" i="2"/>
  <c r="U2" i="2"/>
  <c r="T2" i="2"/>
  <c r="R2" i="2"/>
  <c r="Q2" i="2"/>
  <c r="P2" i="2"/>
  <c r="O2" i="2"/>
  <c r="J2" i="2"/>
  <c r="L2" i="2" s="1"/>
  <c r="S2" i="2" s="1"/>
  <c r="O2" i="1" s="1"/>
  <c r="G2" i="2"/>
  <c r="F2" i="2"/>
  <c r="E2" i="2"/>
  <c r="A2" i="2"/>
  <c r="AJ17" i="1"/>
  <c r="G17" i="1"/>
  <c r="F17" i="1"/>
  <c r="D17" i="1"/>
  <c r="AJ16" i="1"/>
  <c r="P16" i="1"/>
  <c r="L16" i="1"/>
  <c r="B16" i="1"/>
  <c r="C16" i="1" s="1"/>
  <c r="AJ15" i="1"/>
  <c r="AH15" i="1"/>
  <c r="P15" i="1"/>
  <c r="K15" i="1"/>
  <c r="B15" i="1"/>
  <c r="D15" i="1" s="1"/>
  <c r="P14" i="1"/>
  <c r="G14" i="1"/>
  <c r="C14" i="1"/>
  <c r="B14" i="1"/>
  <c r="E14" i="1" s="1"/>
  <c r="P13" i="1"/>
  <c r="F13" i="1"/>
  <c r="E13" i="1"/>
  <c r="D13" i="1"/>
  <c r="C13" i="1"/>
  <c r="B13" i="1"/>
  <c r="P12" i="1"/>
  <c r="B12" i="1"/>
  <c r="K12" i="1" s="1"/>
  <c r="P11" i="1"/>
  <c r="B11" i="1"/>
  <c r="P10" i="1"/>
  <c r="G10" i="1"/>
  <c r="E10" i="1"/>
  <c r="D10" i="1"/>
  <c r="C10" i="1"/>
  <c r="B10" i="1"/>
  <c r="P9" i="1"/>
  <c r="B9" i="1"/>
  <c r="H9" i="1" s="1"/>
  <c r="AB9" i="1" s="1"/>
  <c r="P8" i="1"/>
  <c r="E8" i="1"/>
  <c r="G8" i="1" s="1"/>
  <c r="D8" i="1"/>
  <c r="B8" i="1"/>
  <c r="C8" i="1" s="1"/>
  <c r="P7" i="1"/>
  <c r="B7" i="1"/>
  <c r="F7" i="1" s="1"/>
  <c r="P6" i="1"/>
  <c r="H6" i="1"/>
  <c r="AB6" i="1" s="1"/>
  <c r="AC6" i="1" s="1"/>
  <c r="F6" i="1"/>
  <c r="E6" i="1"/>
  <c r="B6" i="1"/>
  <c r="AB5" i="1"/>
  <c r="P5" i="1"/>
  <c r="L5" i="1"/>
  <c r="W5" i="1" s="1"/>
  <c r="F5" i="1"/>
  <c r="E5" i="1"/>
  <c r="G5" i="1" s="1"/>
  <c r="D5" i="1"/>
  <c r="C5" i="1"/>
  <c r="B5" i="1"/>
  <c r="H5" i="1" s="1"/>
  <c r="P4" i="1"/>
  <c r="B4" i="1"/>
  <c r="P3" i="1"/>
  <c r="M3" i="1"/>
  <c r="L3" i="1"/>
  <c r="K3" i="1"/>
  <c r="H3" i="1"/>
  <c r="AB3" i="1" s="1"/>
  <c r="F3" i="1"/>
  <c r="E3" i="1"/>
  <c r="X3" i="1" s="1"/>
  <c r="D3" i="1"/>
  <c r="B3" i="1"/>
  <c r="P2" i="1"/>
  <c r="L2" i="1"/>
  <c r="J2" i="1"/>
  <c r="H2" i="1"/>
  <c r="AB2" i="1" s="1"/>
  <c r="F2" i="1"/>
  <c r="D2" i="1"/>
  <c r="B2" i="1"/>
  <c r="L15" i="2" l="1"/>
  <c r="S15" i="2" s="1"/>
  <c r="N14" i="2"/>
  <c r="S14" i="2"/>
  <c r="K16" i="2"/>
  <c r="M16" i="2" s="1"/>
  <c r="N17" i="2"/>
  <c r="S11" i="2"/>
  <c r="N11" i="2"/>
  <c r="X2" i="2"/>
  <c r="K2" i="1" s="1"/>
  <c r="N5" i="2"/>
  <c r="N5" i="1" s="1"/>
  <c r="S5" i="2"/>
  <c r="O5" i="1" s="1"/>
  <c r="AC3" i="1"/>
  <c r="AH3" i="1"/>
  <c r="AI3" i="1" s="1"/>
  <c r="AJ3" i="1" s="1"/>
  <c r="AK3" i="1" s="1"/>
  <c r="AG3" i="1"/>
  <c r="AC9" i="1"/>
  <c r="AH9" i="1"/>
  <c r="AG9" i="1"/>
  <c r="AC2" i="1"/>
  <c r="AH2" i="1"/>
  <c r="E4" i="1"/>
  <c r="K4" i="1"/>
  <c r="C9" i="1"/>
  <c r="L15" i="1"/>
  <c r="K2" i="2"/>
  <c r="M2" i="2" s="1"/>
  <c r="I2" i="1" s="1"/>
  <c r="V2" i="1" s="1"/>
  <c r="A12" i="1"/>
  <c r="AH5" i="1"/>
  <c r="AI5" i="1" s="1"/>
  <c r="AJ5" i="1" s="1"/>
  <c r="AK5" i="1" s="1"/>
  <c r="AG5" i="1"/>
  <c r="AE5" i="1"/>
  <c r="L8" i="2"/>
  <c r="J10" i="1"/>
  <c r="M16" i="1"/>
  <c r="W3" i="1"/>
  <c r="D6" i="2"/>
  <c r="D7" i="2"/>
  <c r="A7" i="1" s="1"/>
  <c r="L9" i="2"/>
  <c r="F9" i="1"/>
  <c r="O16" i="1"/>
  <c r="C12" i="1"/>
  <c r="AF5" i="1"/>
  <c r="N14" i="1"/>
  <c r="N4" i="2"/>
  <c r="N4" i="1" s="1"/>
  <c r="H8" i="1"/>
  <c r="AB8" i="1" s="1"/>
  <c r="D11" i="1"/>
  <c r="C11" i="1"/>
  <c r="D7" i="1"/>
  <c r="I12" i="1"/>
  <c r="A6" i="1"/>
  <c r="F11" i="1"/>
  <c r="J12" i="1"/>
  <c r="R5" i="2"/>
  <c r="J5" i="1" s="1"/>
  <c r="G13" i="2"/>
  <c r="E13" i="2"/>
  <c r="C13" i="2"/>
  <c r="M9" i="1"/>
  <c r="K9" i="1"/>
  <c r="D9" i="1"/>
  <c r="N11" i="1"/>
  <c r="L10" i="2"/>
  <c r="D4" i="1"/>
  <c r="AG6" i="1"/>
  <c r="K4" i="2"/>
  <c r="M4" i="2" s="1"/>
  <c r="I4" i="1" s="1"/>
  <c r="R4" i="2"/>
  <c r="J4" i="1" s="1"/>
  <c r="G3" i="1"/>
  <c r="Q3" i="1" s="1"/>
  <c r="F4" i="1"/>
  <c r="Q4" i="1" s="1"/>
  <c r="L10" i="1"/>
  <c r="W10" i="1" s="1"/>
  <c r="H4" i="1"/>
  <c r="AB4" i="1" s="1"/>
  <c r="D12" i="1"/>
  <c r="M3" i="2"/>
  <c r="I3" i="1" s="1"/>
  <c r="H7" i="1"/>
  <c r="AB7" i="1" s="1"/>
  <c r="E7" i="1"/>
  <c r="G7" i="1" s="1"/>
  <c r="G12" i="1"/>
  <c r="L4" i="1"/>
  <c r="W4" i="1" s="1"/>
  <c r="C7" i="1"/>
  <c r="L9" i="1"/>
  <c r="W9" i="1" s="1"/>
  <c r="H12" i="1"/>
  <c r="AB12" i="1" s="1"/>
  <c r="O15" i="1"/>
  <c r="M15" i="1"/>
  <c r="F15" i="1"/>
  <c r="S16" i="2"/>
  <c r="K16" i="1"/>
  <c r="J16" i="1"/>
  <c r="H16" i="1"/>
  <c r="A16" i="1"/>
  <c r="O4" i="1"/>
  <c r="C6" i="1"/>
  <c r="L8" i="1"/>
  <c r="W8" i="1" s="1"/>
  <c r="A10" i="1"/>
  <c r="E15" i="1"/>
  <c r="D16" i="1"/>
  <c r="W2" i="2"/>
  <c r="M2" i="1" s="1"/>
  <c r="G11" i="2"/>
  <c r="F11" i="2"/>
  <c r="E11" i="2"/>
  <c r="D11" i="2"/>
  <c r="A11" i="1" s="1"/>
  <c r="D13" i="2"/>
  <c r="A13" i="1" s="1"/>
  <c r="A8" i="1"/>
  <c r="N16" i="1"/>
  <c r="L12" i="1"/>
  <c r="E12" i="1"/>
  <c r="E6" i="2"/>
  <c r="M10" i="1"/>
  <c r="X10" i="1" s="1"/>
  <c r="L14" i="1"/>
  <c r="W14" i="1" s="1"/>
  <c r="G6" i="2"/>
  <c r="D6" i="1"/>
  <c r="H10" i="1"/>
  <c r="AB10" i="1" s="1"/>
  <c r="F10" i="1"/>
  <c r="Q10" i="1" s="1"/>
  <c r="H11" i="1"/>
  <c r="AB11" i="1" s="1"/>
  <c r="M12" i="1"/>
  <c r="X12" i="1" s="1"/>
  <c r="A14" i="1"/>
  <c r="G15" i="1"/>
  <c r="S15" i="1" s="1"/>
  <c r="E16" i="1"/>
  <c r="G16" i="1" s="1"/>
  <c r="D2" i="2"/>
  <c r="A2" i="1" s="1"/>
  <c r="C2" i="2"/>
  <c r="A5" i="1"/>
  <c r="C11" i="2"/>
  <c r="R12" i="2"/>
  <c r="L12" i="2"/>
  <c r="F13" i="2"/>
  <c r="C4" i="1"/>
  <c r="E7" i="2"/>
  <c r="C7" i="2"/>
  <c r="H13" i="1"/>
  <c r="AB13" i="1" s="1"/>
  <c r="L3" i="2"/>
  <c r="K5" i="2"/>
  <c r="M5" i="2" s="1"/>
  <c r="I5" i="1" s="1"/>
  <c r="V5" i="1" s="1"/>
  <c r="G7" i="2"/>
  <c r="F8" i="1"/>
  <c r="Q8" i="1" s="1"/>
  <c r="O14" i="1"/>
  <c r="E11" i="1"/>
  <c r="G11" i="1" s="1"/>
  <c r="N15" i="2"/>
  <c r="H15" i="1"/>
  <c r="F16" i="1"/>
  <c r="L13" i="2"/>
  <c r="M17" i="2"/>
  <c r="O11" i="1"/>
  <c r="G4" i="1"/>
  <c r="S4" i="1" s="1"/>
  <c r="E2" i="1"/>
  <c r="J3" i="1"/>
  <c r="L7" i="1"/>
  <c r="W7" i="1" s="1"/>
  <c r="I15" i="1"/>
  <c r="W4" i="2"/>
  <c r="M4" i="1" s="1"/>
  <c r="X4" i="1" s="1"/>
  <c r="K10" i="2"/>
  <c r="M10" i="2" s="1"/>
  <c r="I10" i="1" s="1"/>
  <c r="V10" i="1" s="1"/>
  <c r="X10" i="2"/>
  <c r="K10" i="1" s="1"/>
  <c r="Q5" i="1"/>
  <c r="H14" i="1"/>
  <c r="AB14" i="1" s="1"/>
  <c r="C6" i="2"/>
  <c r="E9" i="1"/>
  <c r="N15" i="1"/>
  <c r="AH6" i="1"/>
  <c r="AI6" i="1" s="1"/>
  <c r="AJ6" i="1" s="1"/>
  <c r="AK6" i="1" s="1"/>
  <c r="N2" i="2"/>
  <c r="N2" i="1" s="1"/>
  <c r="AC5" i="1"/>
  <c r="G9" i="1"/>
  <c r="F12" i="1"/>
  <c r="A15" i="1"/>
  <c r="C15" i="1"/>
  <c r="C2" i="1"/>
  <c r="C3" i="1"/>
  <c r="A4" i="1"/>
  <c r="G6" i="1"/>
  <c r="A9" i="1"/>
  <c r="L11" i="1"/>
  <c r="G13" i="1"/>
  <c r="F14" i="1"/>
  <c r="Q14" i="1" s="1"/>
  <c r="J15" i="1"/>
  <c r="I16" i="1"/>
  <c r="D3" i="2"/>
  <c r="A3" i="1" s="1"/>
  <c r="X4" i="2"/>
  <c r="X5" i="2"/>
  <c r="K5" i="1" s="1"/>
  <c r="F8" i="2"/>
  <c r="E8" i="2"/>
  <c r="D8" i="2"/>
  <c r="C8" i="2"/>
  <c r="R9" i="2"/>
  <c r="J9" i="1" s="1"/>
  <c r="K9" i="2"/>
  <c r="M9" i="2" s="1"/>
  <c r="I9" i="1" s="1"/>
  <c r="V9" i="1" s="1"/>
  <c r="E14" i="2"/>
  <c r="C5" i="2"/>
  <c r="D14" i="1"/>
  <c r="D5" i="2"/>
  <c r="L7" i="2"/>
  <c r="T3" i="1" l="1"/>
  <c r="R3" i="1"/>
  <c r="AE3" i="1"/>
  <c r="AF3" i="1"/>
  <c r="V4" i="1"/>
  <c r="Q7" i="1"/>
  <c r="T14" i="1"/>
  <c r="U14" i="1" s="1"/>
  <c r="R14" i="1"/>
  <c r="T4" i="1"/>
  <c r="U4" i="1" s="1"/>
  <c r="AC4" i="1" s="1"/>
  <c r="R4" i="1"/>
  <c r="AD5" i="1"/>
  <c r="Z5" i="1"/>
  <c r="Q9" i="1"/>
  <c r="W8" i="2"/>
  <c r="M8" i="1" s="1"/>
  <c r="X8" i="1" s="1"/>
  <c r="R8" i="2"/>
  <c r="J8" i="1" s="1"/>
  <c r="K8" i="2"/>
  <c r="M8" i="2" s="1"/>
  <c r="I8" i="1" s="1"/>
  <c r="V8" i="1" s="1"/>
  <c r="R5" i="1"/>
  <c r="S5" i="1" s="1"/>
  <c r="T5" i="1"/>
  <c r="S12" i="2"/>
  <c r="O12" i="1" s="1"/>
  <c r="N12" i="2"/>
  <c r="N12" i="1" s="1"/>
  <c r="Y2" i="1"/>
  <c r="N13" i="2"/>
  <c r="N13" i="1" s="1"/>
  <c r="S13" i="2"/>
  <c r="O13" i="1" s="1"/>
  <c r="Q11" i="1"/>
  <c r="N10" i="2"/>
  <c r="N10" i="1" s="1"/>
  <c r="S10" i="1" s="1"/>
  <c r="S10" i="2"/>
  <c r="O10" i="1" s="1"/>
  <c r="AH14" i="1"/>
  <c r="AI14" i="1" s="1"/>
  <c r="AJ14" i="1" s="1"/>
  <c r="AK14" i="1" s="1"/>
  <c r="AE14" i="1"/>
  <c r="AC14" i="1"/>
  <c r="AG14" i="1"/>
  <c r="AF14" i="1"/>
  <c r="X2" i="1"/>
  <c r="Y4" i="1"/>
  <c r="N3" i="2"/>
  <c r="N3" i="1" s="1"/>
  <c r="S3" i="2"/>
  <c r="O3" i="1" s="1"/>
  <c r="V3" i="1"/>
  <c r="X9" i="1"/>
  <c r="AI2" i="1"/>
  <c r="AJ2" i="1" s="1"/>
  <c r="AK2" i="1" s="1"/>
  <c r="S9" i="2"/>
  <c r="O9" i="1" s="1"/>
  <c r="N9" i="2"/>
  <c r="N9" i="1" s="1"/>
  <c r="Y9" i="1" s="1"/>
  <c r="R8" i="1"/>
  <c r="T8" i="1"/>
  <c r="U8" i="1" s="1"/>
  <c r="V12" i="1"/>
  <c r="Q12" i="1"/>
  <c r="Q16" i="1"/>
  <c r="AF13" i="1"/>
  <c r="AC13" i="1"/>
  <c r="AH13" i="1"/>
  <c r="AI13" i="1" s="1"/>
  <c r="AJ13" i="1" s="1"/>
  <c r="AK13" i="1" s="1"/>
  <c r="AG13" i="1"/>
  <c r="AE13" i="1"/>
  <c r="AG11" i="1"/>
  <c r="AE11" i="1"/>
  <c r="AC11" i="1"/>
  <c r="AH11" i="1"/>
  <c r="AI11" i="1" s="1"/>
  <c r="AJ11" i="1" s="1"/>
  <c r="AK11" i="1" s="1"/>
  <c r="W12" i="1"/>
  <c r="Q13" i="1"/>
  <c r="AE10" i="1"/>
  <c r="AF10" i="1"/>
  <c r="AH10" i="1"/>
  <c r="AI10" i="1" s="1"/>
  <c r="AJ10" i="1" s="1"/>
  <c r="AK10" i="1" s="1"/>
  <c r="AC10" i="1"/>
  <c r="AG10" i="1"/>
  <c r="AE12" i="1"/>
  <c r="AF12" i="1"/>
  <c r="AH12" i="1"/>
  <c r="AI12" i="1" s="1"/>
  <c r="AJ12" i="1" s="1"/>
  <c r="AK12" i="1" s="1"/>
  <c r="AG12" i="1"/>
  <c r="AC12" i="1"/>
  <c r="X14" i="2"/>
  <c r="K14" i="1" s="1"/>
  <c r="Y14" i="1" s="1"/>
  <c r="W14" i="2"/>
  <c r="M14" i="1" s="1"/>
  <c r="X14" i="1" s="1"/>
  <c r="R14" i="2"/>
  <c r="J14" i="1" s="1"/>
  <c r="K14" i="2"/>
  <c r="M14" i="2" s="1"/>
  <c r="I14" i="1" s="1"/>
  <c r="V14" i="1" s="1"/>
  <c r="W11" i="1"/>
  <c r="AI9" i="1"/>
  <c r="AJ9" i="1" s="1"/>
  <c r="AK9" i="1" s="1"/>
  <c r="Q6" i="1"/>
  <c r="W11" i="2"/>
  <c r="M11" i="1" s="1"/>
  <c r="X11" i="1" s="1"/>
  <c r="K11" i="2"/>
  <c r="M11" i="2" s="1"/>
  <c r="I11" i="1" s="1"/>
  <c r="R11" i="2"/>
  <c r="J11" i="1" s="1"/>
  <c r="AH7" i="1"/>
  <c r="AI7" i="1" s="1"/>
  <c r="AJ7" i="1" s="1"/>
  <c r="AK7" i="1" s="1"/>
  <c r="AG7" i="1"/>
  <c r="AC7" i="1"/>
  <c r="S7" i="2"/>
  <c r="O7" i="1" s="1"/>
  <c r="N7" i="2"/>
  <c r="N7" i="1" s="1"/>
  <c r="Q15" i="1"/>
  <c r="R15" i="1" s="1"/>
  <c r="AF4" i="1"/>
  <c r="AG4" i="1"/>
  <c r="AA4" i="1"/>
  <c r="AH4" i="1"/>
  <c r="AI4" i="1" s="1"/>
  <c r="AE4" i="1"/>
  <c r="AH8" i="1"/>
  <c r="AI8" i="1" s="1"/>
  <c r="AJ8" i="1" s="1"/>
  <c r="AK8" i="1" s="1"/>
  <c r="AF8" i="1"/>
  <c r="AG8" i="1"/>
  <c r="AE8" i="1"/>
  <c r="AC8" i="1"/>
  <c r="W2" i="1"/>
  <c r="G2" i="1"/>
  <c r="R6" i="2"/>
  <c r="J6" i="1" s="1"/>
  <c r="L6" i="2"/>
  <c r="K6" i="2"/>
  <c r="M6" i="2" s="1"/>
  <c r="I6" i="1" s="1"/>
  <c r="V6" i="1" s="1"/>
  <c r="U6" i="2"/>
  <c r="L6" i="1" s="1"/>
  <c r="W6" i="1" s="1"/>
  <c r="W6" i="2"/>
  <c r="M6" i="1" s="1"/>
  <c r="X6" i="1" s="1"/>
  <c r="Y5" i="1"/>
  <c r="K7" i="2"/>
  <c r="M7" i="2" s="1"/>
  <c r="I7" i="1" s="1"/>
  <c r="V7" i="1" s="1"/>
  <c r="W7" i="2"/>
  <c r="M7" i="1" s="1"/>
  <c r="X7" i="1" s="1"/>
  <c r="X7" i="2"/>
  <c r="K7" i="1" s="1"/>
  <c r="R7" i="2"/>
  <c r="J7" i="1" s="1"/>
  <c r="R10" i="1"/>
  <c r="T10" i="1"/>
  <c r="U10" i="1" s="1"/>
  <c r="U13" i="2"/>
  <c r="L13" i="1" s="1"/>
  <c r="W13" i="1" s="1"/>
  <c r="K13" i="2"/>
  <c r="M13" i="2" s="1"/>
  <c r="I13" i="1" s="1"/>
  <c r="R13" i="2"/>
  <c r="J13" i="1" s="1"/>
  <c r="N8" i="2"/>
  <c r="N8" i="1" s="1"/>
  <c r="S8" i="2"/>
  <c r="O8" i="1" s="1"/>
  <c r="AG2" i="1"/>
  <c r="Y12" i="1" l="1"/>
  <c r="X11" i="2"/>
  <c r="K11" i="1" s="1"/>
  <c r="Y11" i="1" s="1"/>
  <c r="Z13" i="1"/>
  <c r="AD13" i="1"/>
  <c r="T7" i="1"/>
  <c r="R7" i="1"/>
  <c r="U5" i="1"/>
  <c r="AA5" i="1"/>
  <c r="Z11" i="1"/>
  <c r="AD11" i="1"/>
  <c r="T11" i="1"/>
  <c r="R11" i="1"/>
  <c r="Q2" i="1"/>
  <c r="Z3" i="1"/>
  <c r="AD3" i="1"/>
  <c r="AD12" i="1"/>
  <c r="Z12" i="1"/>
  <c r="Y3" i="1"/>
  <c r="AA14" i="1"/>
  <c r="X8" i="2"/>
  <c r="K8" i="1" s="1"/>
  <c r="AF11" i="1"/>
  <c r="T6" i="1"/>
  <c r="R6" i="1"/>
  <c r="AE6" i="1"/>
  <c r="AF6" i="1"/>
  <c r="V13" i="1"/>
  <c r="S16" i="1"/>
  <c r="R16" i="1"/>
  <c r="Z10" i="1"/>
  <c r="AD10" i="1"/>
  <c r="T13" i="1"/>
  <c r="R13" i="1"/>
  <c r="Z14" i="1"/>
  <c r="AD14" i="1"/>
  <c r="Z8" i="1"/>
  <c r="AD8" i="1"/>
  <c r="AE7" i="1"/>
  <c r="S7" i="1" s="1"/>
  <c r="AF7" i="1"/>
  <c r="S14" i="1"/>
  <c r="U3" i="1"/>
  <c r="AA3" i="1" s="1"/>
  <c r="V11" i="1"/>
  <c r="X6" i="2"/>
  <c r="K6" i="1" s="1"/>
  <c r="S3" i="1"/>
  <c r="T9" i="1"/>
  <c r="R9" i="1"/>
  <c r="AF9" i="1"/>
  <c r="AE9" i="1"/>
  <c r="Y10" i="1"/>
  <c r="AA10" i="1" s="1"/>
  <c r="AJ4" i="1"/>
  <c r="AK4" i="1" s="1"/>
  <c r="S6" i="2"/>
  <c r="O6" i="1" s="1"/>
  <c r="N6" i="2"/>
  <c r="N6" i="1" s="1"/>
  <c r="W13" i="2"/>
  <c r="R12" i="1"/>
  <c r="S12" i="1" s="1"/>
  <c r="T12" i="1"/>
  <c r="Y7" i="1"/>
  <c r="Y6" i="1" l="1"/>
  <c r="U11" i="1"/>
  <c r="AA11" i="1"/>
  <c r="U7" i="1"/>
  <c r="U12" i="1"/>
  <c r="AA12" i="1" s="1"/>
  <c r="Z6" i="1"/>
  <c r="AA6" i="1" s="1"/>
  <c r="AD6" i="1"/>
  <c r="AD7" i="1"/>
  <c r="Z7" i="1"/>
  <c r="AA7" i="1" s="1"/>
  <c r="Y8" i="1"/>
  <c r="AA8" i="1" s="1"/>
  <c r="S8" i="1"/>
  <c r="T2" i="1"/>
  <c r="R2" i="1"/>
  <c r="S2" i="1" s="1"/>
  <c r="AE2" i="1"/>
  <c r="AF2" i="1"/>
  <c r="M13" i="1"/>
  <c r="X13" i="1" s="1"/>
  <c r="X13" i="2"/>
  <c r="K13" i="1" s="1"/>
  <c r="U6" i="1"/>
  <c r="AD9" i="1"/>
  <c r="Z9" i="1"/>
  <c r="U13" i="1"/>
  <c r="S9" i="1"/>
  <c r="U9" i="1"/>
  <c r="AA9" i="1"/>
  <c r="S11" i="1"/>
  <c r="S6" i="1"/>
  <c r="U2" i="1" l="1"/>
  <c r="Z2" i="1"/>
  <c r="AA2" i="1" s="1"/>
  <c r="Y13" i="1"/>
  <c r="AA13" i="1" s="1"/>
  <c r="S13" i="1"/>
</calcChain>
</file>

<file path=xl/sharedStrings.xml><?xml version="1.0" encoding="utf-8"?>
<sst xmlns="http://schemas.openxmlformats.org/spreadsheetml/2006/main" count="429" uniqueCount="171">
  <si>
    <t>CONTRATO</t>
  </si>
  <si>
    <t>ID</t>
  </si>
  <si>
    <t>Producto</t>
  </si>
  <si>
    <t>Proveedor</t>
  </si>
  <si>
    <t>Volumen Compra BBL</t>
  </si>
  <si>
    <t>Valor Compra Crudo</t>
  </si>
  <si>
    <t>Flete Marino</t>
  </si>
  <si>
    <t>Puerto Llegada</t>
  </si>
  <si>
    <t>Almacenamiento1</t>
  </si>
  <si>
    <t>Oper Portuaria 1</t>
  </si>
  <si>
    <t>Costo Ingreso CZF</t>
  </si>
  <si>
    <t>Remolcador Ingreso CZF</t>
  </si>
  <si>
    <t>Transporte Terrestre a CZF</t>
  </si>
  <si>
    <t>Almacenamiento 2</t>
  </si>
  <si>
    <t>Oper Portuaria 2</t>
  </si>
  <si>
    <t>% Financiación Crudo + Flete Marino</t>
  </si>
  <si>
    <t>Valor a Financiar Crudo + Flete</t>
  </si>
  <si>
    <t>Costo Financiación</t>
  </si>
  <si>
    <t>Costo Total hasta ingreso TK 109 SPD CZF</t>
  </si>
  <si>
    <t>USD/BBL CRUDO + FLETE Marino</t>
  </si>
  <si>
    <t>USD/BBL %FIN mes</t>
  </si>
  <si>
    <t>USD/BBL Alm+OperPort 1</t>
  </si>
  <si>
    <t>Remolcador a CZF</t>
  </si>
  <si>
    <t>Transp Terrestre a CZF</t>
  </si>
  <si>
    <t>USD/BBL Ingreso a CZF (Alm+OperPort 2)</t>
  </si>
  <si>
    <t>Nacionalización USD/BBL</t>
  </si>
  <si>
    <t>Spread Total on Brent IMPORTACIONES</t>
  </si>
  <si>
    <t>Premiun Venta Exportaciones</t>
  </si>
  <si>
    <t>Utilidad Exportaciones HC´s ECP u Otros</t>
  </si>
  <si>
    <t>Gasto Nacionalización</t>
  </si>
  <si>
    <t>Aseguranza Crudo + Flete 0.5%</t>
  </si>
  <si>
    <t>Agencia de Aduana</t>
  </si>
  <si>
    <t>Inspección Recibido</t>
  </si>
  <si>
    <t>Gasto Exportación</t>
  </si>
  <si>
    <t>USD/Bbl Exportación</t>
  </si>
  <si>
    <t>Costo Total Exportación</t>
  </si>
  <si>
    <t>Spread Exportaciones</t>
  </si>
  <si>
    <t>PAÍS ORIGEN</t>
  </si>
  <si>
    <t>PRODUCTO  COMPRA</t>
  </si>
  <si>
    <t>Volumen de compra bpm</t>
  </si>
  <si>
    <t>°API</t>
  </si>
  <si>
    <t>FC Bbl/Ton</t>
  </si>
  <si>
    <t>PUERTO LLEGADA</t>
  </si>
  <si>
    <t>TK Recibo</t>
  </si>
  <si>
    <t>Volumen Almace</t>
  </si>
  <si>
    <t># Rotaciones1</t>
  </si>
  <si>
    <t>#Rotaciones2</t>
  </si>
  <si>
    <t>Costo Almacenamiento 1</t>
  </si>
  <si>
    <t>Costo Almacenamiento2</t>
  </si>
  <si>
    <t>1ra Vuelta</t>
  </si>
  <si>
    <t>2da Vuelta</t>
  </si>
  <si>
    <t>3ra Vuelta</t>
  </si>
  <si>
    <t>Costo OperPort1</t>
  </si>
  <si>
    <t>Costo OperPort2</t>
  </si>
  <si>
    <t>OPER PORTUARIO</t>
  </si>
  <si>
    <t>USO Remocaldor Ingreso CZF</t>
  </si>
  <si>
    <t>Costo Ingreso CZF Bbl</t>
  </si>
  <si>
    <t xml:space="preserve">Logistica Terrestre a CZF </t>
  </si>
  <si>
    <t>Tramites Ingreso CZF</t>
  </si>
  <si>
    <t>PALERMO</t>
  </si>
  <si>
    <t>PAL-1_168K, PAL-5_80K</t>
  </si>
  <si>
    <t>PUERTO_BAHIA</t>
  </si>
  <si>
    <t>BAHIA-1_300K</t>
  </si>
  <si>
    <t>RETORNO CARGA</t>
  </si>
  <si>
    <t>SPD</t>
  </si>
  <si>
    <t>TK-109_25K</t>
  </si>
  <si>
    <t>PETROMIL</t>
  </si>
  <si>
    <t>PAL-1_168K</t>
  </si>
  <si>
    <t>PAL-7_80K</t>
  </si>
  <si>
    <t>PET-1_30K, PET-2_30K</t>
  </si>
  <si>
    <t>ID Transacción</t>
  </si>
  <si>
    <t>PRODUCTO</t>
  </si>
  <si>
    <t>Spread on Brent</t>
  </si>
  <si>
    <t>Volumen  a Comprar (BPD)</t>
  </si>
  <si>
    <t>Precio de Compra CALCULADO  (USD/BPD)</t>
  </si>
  <si>
    <t>Movimiento</t>
  </si>
  <si>
    <t>Flete Maritimo</t>
  </si>
  <si>
    <t>Valor Flete</t>
  </si>
  <si>
    <t>CALIDAD API</t>
  </si>
  <si>
    <t>SPG</t>
  </si>
  <si>
    <t>DENSIDAD  (S.I)</t>
  </si>
  <si>
    <t>FC bbl/Ton</t>
  </si>
  <si>
    <t>%AZUFRE</t>
  </si>
  <si>
    <t>Viscosidad Cst</t>
  </si>
  <si>
    <t>Water by Distillation % v/v</t>
  </si>
  <si>
    <t>I1</t>
  </si>
  <si>
    <t>LIGHT OIL</t>
  </si>
  <si>
    <t>GUNVOR Mediano</t>
  </si>
  <si>
    <t>Importación</t>
  </si>
  <si>
    <t>I2</t>
  </si>
  <si>
    <t>E1</t>
  </si>
  <si>
    <t>FUEL OIL</t>
  </si>
  <si>
    <t>Ecopetrol (Exportación-Flete asumido cliente)</t>
  </si>
  <si>
    <t>Exportación</t>
  </si>
  <si>
    <t>I3</t>
  </si>
  <si>
    <t>I4</t>
  </si>
  <si>
    <t>I5</t>
  </si>
  <si>
    <t>GUNVOR</t>
  </si>
  <si>
    <t>I6</t>
  </si>
  <si>
    <t>BB Energy</t>
  </si>
  <si>
    <t>I7</t>
  </si>
  <si>
    <t>I8</t>
  </si>
  <si>
    <t>I9</t>
  </si>
  <si>
    <t>I10</t>
  </si>
  <si>
    <t>I11</t>
  </si>
  <si>
    <t>I12</t>
  </si>
  <si>
    <t>Ciudad</t>
  </si>
  <si>
    <t>PUERTO</t>
  </si>
  <si>
    <t># TANQUE</t>
  </si>
  <si>
    <t>VOLUMEN ALMACENAMIENTO bbl</t>
  </si>
  <si>
    <t>USO A LA CARGA</t>
  </si>
  <si>
    <t>Requiere Transporte a Refineria</t>
  </si>
  <si>
    <t>COP/Gln</t>
  </si>
  <si>
    <t>USD/Bbl</t>
  </si>
  <si>
    <t>Toneladas /mes</t>
  </si>
  <si>
    <t>Cartagena</t>
  </si>
  <si>
    <t>Crudo</t>
  </si>
  <si>
    <t>NO</t>
  </si>
  <si>
    <t>TK-110_25K</t>
  </si>
  <si>
    <t>TK-102_5K</t>
  </si>
  <si>
    <t>TK-101_5K</t>
  </si>
  <si>
    <t>TK-107_30K</t>
  </si>
  <si>
    <t>TK-105_30k</t>
  </si>
  <si>
    <t>Barranquilla</t>
  </si>
  <si>
    <t>Si</t>
  </si>
  <si>
    <t>PAL-2_20K</t>
  </si>
  <si>
    <t>PAL-3_20K</t>
  </si>
  <si>
    <t>PAL-4_28K</t>
  </si>
  <si>
    <t>PAL-5_80K</t>
  </si>
  <si>
    <t>PAL-6_80K</t>
  </si>
  <si>
    <t>PET-1_30K</t>
  </si>
  <si>
    <t>PET-2_30K</t>
  </si>
  <si>
    <t>PET-3_30K</t>
  </si>
  <si>
    <t>Factor de Conversión Bbl a Tonelada  Crudos por °API</t>
  </si>
  <si>
    <t>Factor a 15°C (bbl/ton)</t>
  </si>
  <si>
    <t>Factor a 30°C (bbl/ton)</t>
  </si>
  <si>
    <t>INDEX</t>
  </si>
  <si>
    <t>VALUE</t>
  </si>
  <si>
    <t>BRENT</t>
  </si>
  <si>
    <t>TRM</t>
  </si>
  <si>
    <t>% Financiación</t>
  </si>
  <si>
    <t>Subyacente</t>
  </si>
  <si>
    <t xml:space="preserve">Precio Venta HCs Exportación </t>
  </si>
  <si>
    <t>Fuel Oil ECP</t>
  </si>
  <si>
    <t>PTO BAHIA</t>
  </si>
  <si>
    <t>TK-109</t>
  </si>
  <si>
    <t>TK-110</t>
  </si>
  <si>
    <t>TK-102</t>
  </si>
  <si>
    <t>TK-101</t>
  </si>
  <si>
    <t>TK-107</t>
  </si>
  <si>
    <t>TK-105</t>
  </si>
  <si>
    <t>PAL-1</t>
  </si>
  <si>
    <t>PAL-2</t>
  </si>
  <si>
    <t>PAL-3</t>
  </si>
  <si>
    <t>PAL-4</t>
  </si>
  <si>
    <t>PAL-5</t>
  </si>
  <si>
    <t>PAL-6</t>
  </si>
  <si>
    <t>PAL-7</t>
  </si>
  <si>
    <t>PET-1</t>
  </si>
  <si>
    <t>PET-2</t>
  </si>
  <si>
    <t>PET-3</t>
  </si>
  <si>
    <t>BAHIA-1</t>
  </si>
  <si>
    <t>PUERTOS</t>
  </si>
  <si>
    <t>PTO</t>
  </si>
  <si>
    <t>TK</t>
  </si>
  <si>
    <t>Ecopetrol</t>
  </si>
  <si>
    <t>PANAMA</t>
  </si>
  <si>
    <t>Reficar</t>
  </si>
  <si>
    <t>USA</t>
  </si>
  <si>
    <t>Tolu</t>
  </si>
  <si>
    <t>Barranca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</si>
</sst>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-* #,##0_-;\-* #,##0_-;_-* &quot;-&quot;??_-;_-@"/>
    <numFmt numFmtId="165" formatCode="_-* #,##0.00_-;\-* #,##0.00_-;_-* &quot;-&quot;??.00_-;_-@"/>
    <numFmt numFmtId="166" formatCode="_-&quot;$&quot;\ * #,##0_-;\-&quot;$&quot;\ * #,##0_-;_-&quot;$&quot;\ * &quot;-&quot;??_-;_-@"/>
    <numFmt numFmtId="167" formatCode="_-&quot;$&quot;\ * #,##0.00_-;\-&quot;$&quot;\ * #,##0.00_-;_-&quot;$&quot;\ * &quot;-&quot;??_-;_-@"/>
    <numFmt numFmtId="168" formatCode="_-* #,##0.00_-;\-* #,##0.00_-;_-* &quot;-&quot;??_-;_-@"/>
    <numFmt numFmtId="169" formatCode="_-&quot;$&quot;\ * #,##0.00_-;\-&quot;$&quot;\ * #,##0.00_-;_-&quot;$&quot;\ * &quot;-&quot;??.00_-;_-@"/>
    <numFmt numFmtId="170" formatCode="_-* #,##0.0_-;\-* #,##0.0_-;_-* &quot;-&quot;??_-;_-@"/>
    <numFmt numFmtId="171" formatCode="_-* #,##0.000_-;\-* #,##0.000_-;_-* &quot;-&quot;??_-;_-@"/>
    <numFmt numFmtId="172" formatCode="0.0"/>
    <numFmt numFmtId="173" formatCode="0.0000"/>
    <numFmt numFmtId="174" formatCode="&quot;$&quot;\ #,##0"/>
    <numFmt numFmtId="175" formatCode="&quot;BRENT + &quot;0"/>
  </numFmts>
  <fonts count="12">
    <font>
      <sz val="11"/>
      <color theme="1"/>
      <name val="Aptos Narrow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</font>
    <font>
      <sz val="9"/>
      <color theme="1"/>
      <name val="Play"/>
    </font>
    <font>
      <sz val="11"/>
      <color theme="1"/>
      <name val="Arial"/>
    </font>
    <font>
      <b/>
      <sz val="9"/>
      <color theme="1"/>
      <name val="Play"/>
    </font>
    <font>
      <b/>
      <sz val="11"/>
      <color theme="1"/>
      <name val="Arial"/>
    </font>
    <font>
      <sz val="12"/>
      <color rgb="FF242424"/>
      <name val="Aptos"/>
    </font>
    <font>
      <sz val="9"/>
      <color theme="1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D9F2D0"/>
        <bgColor rgb="FFD9F2D0"/>
      </patternFill>
    </fill>
    <fill>
      <patternFill patternType="solid">
        <fgColor rgb="FFCAEDFB"/>
        <bgColor rgb="FFCAEDFB"/>
      </patternFill>
    </fill>
    <fill>
      <patternFill patternType="solid">
        <fgColor rgb="FF9FC5E8"/>
        <bgColor rgb="FF9FC5E8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164" fontId="3" fillId="2" borderId="1" xfId="0" applyNumberFormat="1" applyFont="1" applyFill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10" fontId="3" fillId="0" borderId="1" xfId="0" applyNumberFormat="1" applyFont="1" applyBorder="1"/>
    <xf numFmtId="166" fontId="3" fillId="0" borderId="1" xfId="0" applyNumberFormat="1" applyFont="1" applyBorder="1"/>
    <xf numFmtId="167" fontId="3" fillId="0" borderId="1" xfId="0" applyNumberFormat="1" applyFont="1" applyBorder="1"/>
    <xf numFmtId="168" fontId="3" fillId="0" borderId="1" xfId="0" applyNumberFormat="1" applyFont="1" applyBorder="1"/>
    <xf numFmtId="2" fontId="4" fillId="0" borderId="1" xfId="0" applyNumberFormat="1" applyFont="1" applyBorder="1"/>
    <xf numFmtId="167" fontId="2" fillId="0" borderId="1" xfId="0" applyNumberFormat="1" applyFont="1" applyBorder="1"/>
    <xf numFmtId="166" fontId="3" fillId="0" borderId="0" xfId="0" applyNumberFormat="1" applyFont="1"/>
    <xf numFmtId="169" fontId="3" fillId="0" borderId="0" xfId="0" applyNumberFormat="1" applyFont="1"/>
    <xf numFmtId="2" fontId="5" fillId="0" borderId="1" xfId="0" applyNumberFormat="1" applyFont="1" applyBorder="1"/>
    <xf numFmtId="0" fontId="3" fillId="0" borderId="2" xfId="0" applyFont="1" applyBorder="1"/>
    <xf numFmtId="2" fontId="4" fillId="0" borderId="0" xfId="0" applyNumberFormat="1" applyFont="1"/>
    <xf numFmtId="0" fontId="4" fillId="0" borderId="0" xfId="0" applyFont="1" applyAlignment="1">
      <alignment wrapText="1"/>
    </xf>
    <xf numFmtId="164" fontId="3" fillId="0" borderId="0" xfId="0" applyNumberFormat="1" applyFont="1"/>
    <xf numFmtId="0" fontId="4" fillId="0" borderId="1" xfId="0" applyFont="1" applyBorder="1"/>
    <xf numFmtId="164" fontId="6" fillId="2" borderId="1" xfId="0" applyNumberFormat="1" applyFont="1" applyFill="1" applyBorder="1"/>
    <xf numFmtId="165" fontId="6" fillId="2" borderId="1" xfId="0" applyNumberFormat="1" applyFont="1" applyFill="1" applyBorder="1"/>
    <xf numFmtId="0" fontId="7" fillId="3" borderId="1" xfId="0" applyFont="1" applyFill="1" applyBorder="1"/>
    <xf numFmtId="0" fontId="5" fillId="0" borderId="1" xfId="0" applyFont="1" applyBorder="1"/>
    <xf numFmtId="164" fontId="8" fillId="2" borderId="1" xfId="0" applyNumberFormat="1" applyFont="1" applyFill="1" applyBorder="1"/>
    <xf numFmtId="168" fontId="8" fillId="2" borderId="1" xfId="0" applyNumberFormat="1" applyFont="1" applyFill="1" applyBorder="1" applyAlignment="1">
      <alignment horizontal="left"/>
    </xf>
    <xf numFmtId="170" fontId="8" fillId="2" borderId="1" xfId="0" applyNumberFormat="1" applyFont="1" applyFill="1" applyBorder="1" applyAlignment="1">
      <alignment horizontal="left"/>
    </xf>
    <xf numFmtId="166" fontId="8" fillId="2" borderId="1" xfId="0" applyNumberFormat="1" applyFont="1" applyFill="1" applyBorder="1" applyAlignment="1">
      <alignment horizontal="left"/>
    </xf>
    <xf numFmtId="171" fontId="8" fillId="2" borderId="1" xfId="0" applyNumberFormat="1" applyFont="1" applyFill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3" fillId="3" borderId="1" xfId="0" applyFont="1" applyFill="1" applyBorder="1"/>
    <xf numFmtId="164" fontId="6" fillId="0" borderId="1" xfId="0" applyNumberFormat="1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0" xfId="0" applyFont="1"/>
    <xf numFmtId="0" fontId="4" fillId="0" borderId="5" xfId="0" applyFont="1" applyBorder="1"/>
    <xf numFmtId="0" fontId="4" fillId="0" borderId="6" xfId="0" applyFont="1" applyBorder="1"/>
    <xf numFmtId="0" fontId="3" fillId="0" borderId="5" xfId="0" applyFont="1" applyBorder="1"/>
    <xf numFmtId="0" fontId="3" fillId="0" borderId="6" xfId="0" applyFont="1" applyBorder="1" applyAlignment="1">
      <alignment horizontal="left"/>
    </xf>
    <xf numFmtId="0" fontId="4" fillId="0" borderId="7" xfId="0" applyFont="1" applyBorder="1"/>
    <xf numFmtId="0" fontId="4" fillId="0" borderId="8" xfId="0" applyFont="1" applyBorder="1"/>
    <xf numFmtId="0" fontId="3" fillId="0" borderId="7" xfId="0" applyFont="1" applyBorder="1"/>
    <xf numFmtId="0" fontId="3" fillId="0" borderId="8" xfId="0" applyFont="1" applyBorder="1" applyAlignment="1">
      <alignment horizontal="left"/>
    </xf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2" fontId="7" fillId="0" borderId="0" xfId="0" applyNumberFormat="1" applyFont="1" applyAlignment="1">
      <alignment vertical="center"/>
    </xf>
    <xf numFmtId="164" fontId="7" fillId="3" borderId="9" xfId="0" applyNumberFormat="1" applyFont="1" applyFill="1" applyBorder="1" applyAlignment="1">
      <alignment vertical="center"/>
    </xf>
    <xf numFmtId="164" fontId="3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8" fontId="3" fillId="0" borderId="0" xfId="0" applyNumberFormat="1" applyFont="1" applyAlignment="1">
      <alignment vertical="center"/>
    </xf>
    <xf numFmtId="4" fontId="3" fillId="0" borderId="0" xfId="0" applyNumberFormat="1" applyFont="1" applyAlignment="1">
      <alignment vertical="center"/>
    </xf>
    <xf numFmtId="10" fontId="3" fillId="0" borderId="0" xfId="0" applyNumberFormat="1" applyFont="1" applyAlignment="1">
      <alignment vertical="center"/>
    </xf>
    <xf numFmtId="164" fontId="3" fillId="3" borderId="9" xfId="0" applyNumberFormat="1" applyFont="1" applyFill="1" applyBorder="1" applyAlignment="1">
      <alignment vertical="center"/>
    </xf>
    <xf numFmtId="164" fontId="1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2" fontId="3" fillId="0" borderId="0" xfId="0" applyNumberFormat="1" applyFont="1" applyAlignment="1">
      <alignment vertical="center"/>
    </xf>
    <xf numFmtId="164" fontId="3" fillId="3" borderId="9" xfId="0" applyNumberFormat="1" applyFont="1" applyFill="1" applyBorder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/>
    <xf numFmtId="0" fontId="3" fillId="0" borderId="0" xfId="0" applyFont="1" applyAlignment="1">
      <alignment horizontal="left"/>
    </xf>
    <xf numFmtId="164" fontId="10" fillId="3" borderId="9" xfId="0" applyNumberFormat="1" applyFont="1" applyFill="1" applyBorder="1" applyAlignment="1">
      <alignment vertical="center" wrapText="1"/>
    </xf>
    <xf numFmtId="2" fontId="7" fillId="0" borderId="0" xfId="0" applyNumberFormat="1" applyFont="1"/>
    <xf numFmtId="2" fontId="3" fillId="0" borderId="0" xfId="0" applyNumberFormat="1" applyFont="1"/>
    <xf numFmtId="0" fontId="3" fillId="3" borderId="9" xfId="0" applyFont="1" applyFill="1" applyBorder="1"/>
    <xf numFmtId="172" fontId="3" fillId="0" borderId="0" xfId="0" applyNumberFormat="1" applyFont="1"/>
    <xf numFmtId="0" fontId="7" fillId="3" borderId="9" xfId="0" applyFont="1" applyFill="1" applyBorder="1"/>
    <xf numFmtId="173" fontId="3" fillId="0" borderId="0" xfId="0" applyNumberFormat="1" applyFont="1"/>
    <xf numFmtId="0" fontId="5" fillId="0" borderId="0" xfId="0" applyFont="1"/>
    <xf numFmtId="0" fontId="3" fillId="0" borderId="0" xfId="0" applyFont="1" applyAlignment="1">
      <alignment horizontal="right"/>
    </xf>
    <xf numFmtId="164" fontId="10" fillId="0" borderId="0" xfId="0" applyNumberFormat="1" applyFont="1" applyAlignment="1">
      <alignment vertical="center" wrapText="1"/>
    </xf>
    <xf numFmtId="0" fontId="9" fillId="4" borderId="0" xfId="0" applyFont="1" applyFill="1" applyAlignment="1">
      <alignment horizontal="center" vertical="center" wrapText="1"/>
    </xf>
    <xf numFmtId="172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11" fillId="5" borderId="9" xfId="0" applyFont="1" applyFill="1" applyBorder="1"/>
    <xf numFmtId="0" fontId="11" fillId="5" borderId="9" xfId="0" applyFont="1" applyFill="1" applyBorder="1" applyAlignment="1">
      <alignment horizontal="left"/>
    </xf>
    <xf numFmtId="0" fontId="8" fillId="0" borderId="10" xfId="0" applyFont="1" applyBorder="1"/>
    <xf numFmtId="174" fontId="6" fillId="6" borderId="10" xfId="0" applyNumberFormat="1" applyFont="1" applyFill="1" applyBorder="1" applyAlignment="1">
      <alignment horizontal="left"/>
    </xf>
    <xf numFmtId="0" fontId="8" fillId="0" borderId="0" xfId="0" applyFont="1"/>
    <xf numFmtId="10" fontId="6" fillId="6" borderId="10" xfId="0" applyNumberFormat="1" applyFont="1" applyFill="1" applyBorder="1" applyAlignment="1">
      <alignment horizontal="left"/>
    </xf>
    <xf numFmtId="175" fontId="3" fillId="7" borderId="0" xfId="0" applyNumberFormat="1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10" xfId="0" applyFont="1" applyBorder="1"/>
    <xf numFmtId="0" fontId="9" fillId="4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1:AK1000"/>
  <sheetViews>
    <sheetView tabSelected="1" topLeftCell="J1" workbookViewId="0">
      <pane ySplit="1" topLeftCell="A2" activePane="bottomLeft" state="frozen"/>
      <selection pane="bottomLeft" activeCell="O3" sqref="O3"/>
    </sheetView>
  </sheetViews>
  <sheetFormatPr baseColWidth="10" defaultColWidth="12.6328125" defaultRowHeight="15" customHeight="1"/>
  <cols>
    <col min="1" max="1" width="36.08984375" customWidth="1"/>
    <col min="2" max="2" width="13.453125" customWidth="1"/>
    <col min="3" max="3" width="15.08984375" customWidth="1"/>
    <col min="4" max="5" width="19.453125" customWidth="1"/>
    <col min="6" max="6" width="21.36328125" customWidth="1"/>
    <col min="7" max="7" width="21.08984375" customWidth="1"/>
    <col min="8" max="8" width="21.36328125" customWidth="1"/>
    <col min="9" max="9" width="16.453125" customWidth="1"/>
    <col min="10" max="10" width="14.7265625" customWidth="1"/>
    <col min="11" max="12" width="14.08984375" customWidth="1"/>
    <col min="13" max="14" width="16.90625" customWidth="1"/>
    <col min="15" max="15" width="14.7265625" customWidth="1"/>
    <col min="16" max="16" width="9.453125" customWidth="1"/>
    <col min="17" max="17" width="18.26953125" customWidth="1"/>
    <col min="18" max="18" width="12.36328125" customWidth="1"/>
    <col min="19" max="19" width="18.26953125" customWidth="1"/>
    <col min="20" max="20" width="23.90625" customWidth="1"/>
    <col min="21" max="21" width="12.08984375" customWidth="1"/>
    <col min="22" max="22" width="12.90625" customWidth="1"/>
    <col min="23" max="23" width="9.453125" customWidth="1"/>
    <col min="24" max="25" width="20.6328125" customWidth="1"/>
    <col min="26" max="26" width="17.36328125" customWidth="1"/>
    <col min="27" max="27" width="13.453125" customWidth="1"/>
    <col min="28" max="28" width="18.90625" customWidth="1"/>
    <col min="29" max="29" width="10.6328125" customWidth="1"/>
    <col min="31" max="37" width="10.6328125" customWidth="1"/>
  </cols>
  <sheetData>
    <row r="1" spans="1:37" ht="46.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1" t="s">
        <v>33</v>
      </c>
      <c r="AI1" s="4" t="s">
        <v>34</v>
      </c>
      <c r="AJ1" s="4" t="s">
        <v>35</v>
      </c>
      <c r="AK1" s="4" t="s">
        <v>36</v>
      </c>
    </row>
    <row r="2" spans="1:37" ht="14.25" customHeight="1">
      <c r="A2" s="5" t="str">
        <f>IFERROR(VLOOKUP(B2,LLEGADA!$A$2:$W$17,4,FALSE),0)</f>
        <v>I1-GUNVOR Mediano-LIGHT OIL-100-MBBL-MUSD$7</v>
      </c>
      <c r="B2" s="6" t="str">
        <f>COMPRAS!A2</f>
        <v>I1</v>
      </c>
      <c r="C2" s="6" t="str">
        <f>IFERROR(VLOOKUP($B2,COMPRAS!$A$2:$D$15,3,0),0)</f>
        <v>LIGHT OIL</v>
      </c>
      <c r="D2" s="6" t="str">
        <f>IFERROR(VLOOKUP($B2,COMPRAS!$A$2:$D$15,4,0),0)</f>
        <v>GUNVOR Mediano</v>
      </c>
      <c r="E2" s="7">
        <f>IFERROR(VLOOKUP($B2,COMPRAS!$A$2:$G$15,6,0),0)</f>
        <v>100000</v>
      </c>
      <c r="F2" s="8">
        <f>IFERROR(VLOOKUP($B2,COMPRAS!$A$2:$G$15,7,0),0)</f>
        <v>7000000</v>
      </c>
      <c r="G2" s="9">
        <f>IFERROR(VLOOKUP($B2,COMPRAS!$A$2:$J$15,9,0),0)*E2</f>
        <v>350000</v>
      </c>
      <c r="H2" s="8" t="str">
        <f>IFERROR(VLOOKUP(B2,LLEGADA!$A$2:$X$17,8,0),0)</f>
        <v>PALERMO</v>
      </c>
      <c r="I2" s="8">
        <f ca="1">IFERROR(VLOOKUP(B2,LLEGADA!$A$2:$X$17,13,0),0)</f>
        <v>150000</v>
      </c>
      <c r="J2" s="8">
        <f>IFERROR(VLOOKUP(B2,LLEGADA!$A$2:$X$17,18,0),0)</f>
        <v>54990.376684080285</v>
      </c>
      <c r="K2" s="8">
        <f>IFERROR(VLOOKUP(B2,LLEGADA!$A$2:$X$17,24,0),0)</f>
        <v>3500.0000000000005</v>
      </c>
      <c r="L2" s="8">
        <f>IFERROR(VLOOKUP(B2,LLEGADA!$A$2:$X$17,21,0),0)</f>
        <v>0</v>
      </c>
      <c r="M2" s="8">
        <f>IFERROR(VLOOKUP(B2,LLEGADA!$A$2:$X$20,23,FALSE),0)</f>
        <v>184390.24390243902</v>
      </c>
      <c r="N2" s="8">
        <f ca="1">IFERROR(VLOOKUP(B2,LLEGADA!$A$2:$X$17,14,0),0)</f>
        <v>57750</v>
      </c>
      <c r="O2" s="8">
        <f ca="1">IFERROR(VLOOKUP(B2,LLEGADA!$A$2:$X$17,19,0),0)</f>
        <v>63238.933186692324</v>
      </c>
      <c r="P2" s="10">
        <f>ECONOMICOS!$B$4</f>
        <v>1.0999999999999999E-2</v>
      </c>
      <c r="Q2" s="11">
        <f t="shared" ref="Q2:Q16" si="0">+F2+G2</f>
        <v>7350000</v>
      </c>
      <c r="R2" s="11">
        <f t="shared" ref="R2:R16" si="1">+Q2*P2</f>
        <v>80850</v>
      </c>
      <c r="S2" s="11">
        <f t="shared" ref="S2:S15" ca="1" si="2">IF(G2=0,0,+Q2+SUM(I2:O2)+R2+SUM(AE2:AG2))</f>
        <v>8009019.5537732113</v>
      </c>
      <c r="T2" s="12">
        <f t="shared" ref="T2:T14" si="3">+(Q2/E2)-BRENT</f>
        <v>5.5</v>
      </c>
      <c r="U2" s="12">
        <f t="shared" ref="U2:U14" si="4">(BRENT+T2)*P2</f>
        <v>0.8085</v>
      </c>
      <c r="V2" s="13">
        <f t="shared" ref="V2:V14" ca="1" si="5">((I2+J2)/E2)</f>
        <v>2.0499037668408029</v>
      </c>
      <c r="W2" s="13">
        <f t="shared" ref="W2:W14" si="6">L2/E2</f>
        <v>0</v>
      </c>
      <c r="X2" s="13">
        <f t="shared" ref="X2:X14" si="7">IFERROR(M2/E2,0)</f>
        <v>1.8439024390243901</v>
      </c>
      <c r="Y2" s="13">
        <f t="shared" ref="Y2:Y14" ca="1" si="8">+(K2+N2+O2)/E2</f>
        <v>1.2448893318669234</v>
      </c>
      <c r="Z2" s="14">
        <f t="shared" ref="Z2:Z3" si="9">(AE2+AF2+AG2+AH2)/E2</f>
        <v>0.64300000000000002</v>
      </c>
      <c r="AA2" s="15">
        <f t="shared" ref="AA2:AA14" ca="1" si="10">IF(AB2=0,SUM(T2:Z2),0)</f>
        <v>12.090195537732118</v>
      </c>
      <c r="AB2" s="13">
        <f>IF(H2="RETORNO CARGA",ECONOMICOS!$B$7,0)</f>
        <v>0</v>
      </c>
      <c r="AC2" s="6">
        <f t="shared" ref="AC2:AC14" si="11">IF(AB2=0,0,AB2-SUM(T2:Y2))</f>
        <v>0</v>
      </c>
      <c r="AD2" s="11">
        <f>AE2+AF2+AG2+AH2</f>
        <v>64300</v>
      </c>
      <c r="AE2" s="11">
        <f t="shared" ref="AE2:AE14" si="12">IF(AB2=0,(Q2)*0.5%,0)</f>
        <v>36750</v>
      </c>
      <c r="AF2" s="11">
        <f t="shared" ref="AF2:AF14" si="13">IF(AB2=0,Q2*0.3%,0)</f>
        <v>22050</v>
      </c>
      <c r="AG2" s="11">
        <f t="shared" ref="AG2:AG14" si="14">IF(AB2=0,IF(E2&lt;150000,5500,8500),0)</f>
        <v>5500</v>
      </c>
      <c r="AH2" s="11">
        <f t="shared" ref="AH2:AH14" si="15">IF(AB2&gt;0,F2*0.35%,0)</f>
        <v>0</v>
      </c>
      <c r="AI2" s="16">
        <f t="shared" ref="AI2:AI14" si="16">AH2/E2</f>
        <v>0</v>
      </c>
      <c r="AJ2" s="16">
        <f t="shared" ref="AJ2:AJ17" si="17">IF(AI2&gt;0,(AH2+R2+Q2),0)</f>
        <v>0</v>
      </c>
      <c r="AK2" s="17">
        <f t="shared" ref="AK2:AK14" si="18">IF(AJ2&gt;0,(AJ2/E2)-BRENT,0)</f>
        <v>0</v>
      </c>
    </row>
    <row r="3" spans="1:37" ht="14.25" customHeight="1">
      <c r="A3" s="5" t="str">
        <f>IFERROR(VLOOKUP(B3,LLEGADA!$A$2:$W$17,4,FALSE),0)</f>
        <v>I2-GUNVOR Mediano-LIGHT OIL-100-MBBL-MUSD$7</v>
      </c>
      <c r="B3" s="6" t="str">
        <f>COMPRAS!A3</f>
        <v>I2</v>
      </c>
      <c r="C3" s="6" t="str">
        <f>IFERROR(VLOOKUP($B3,COMPRAS!$A$2:$D$15,3,0),0)</f>
        <v>LIGHT OIL</v>
      </c>
      <c r="D3" s="6" t="str">
        <f>IFERROR(VLOOKUP($B3,COMPRAS!$A$2:$D$15,4,0),0)</f>
        <v>GUNVOR Mediano</v>
      </c>
      <c r="E3" s="7">
        <f>IFERROR(VLOOKUP($B3,COMPRAS!$A$2:$G$15,6,0),0)</f>
        <v>100000</v>
      </c>
      <c r="F3" s="8">
        <f>IFERROR(VLOOKUP($B3,COMPRAS!$A$2:$G$15,7,0),0)</f>
        <v>7000000</v>
      </c>
      <c r="G3" s="9">
        <f>IFERROR(VLOOKUP($B3,COMPRAS!$A$2:$J$15,9,0),0)*E3</f>
        <v>350000</v>
      </c>
      <c r="H3" s="8" t="str">
        <f>IFERROR(VLOOKUP(B3,LLEGADA!$A$2:$X$17,8,0),0)</f>
        <v>PUERTO_BAHIA</v>
      </c>
      <c r="I3" s="8">
        <f ca="1">IFERROR(VLOOKUP(B3,LLEGADA!$A$2:$X$17,13,0),0)</f>
        <v>130000</v>
      </c>
      <c r="J3" s="8">
        <f>IFERROR(VLOOKUP(B3,LLEGADA!$A$2:$X$17,18,0),0)</f>
        <v>48116.57959857025</v>
      </c>
      <c r="K3" s="8">
        <f>IFERROR(VLOOKUP(B3,LLEGADA!$A$2:$X$17,24,0),0)</f>
        <v>3500.0000000000005</v>
      </c>
      <c r="L3" s="8">
        <f>IFERROR(VLOOKUP(B3,LLEGADA!$A$2:$X$17,21,0),0)</f>
        <v>0</v>
      </c>
      <c r="M3" s="8">
        <f>IFERROR(VLOOKUP(B3,LLEGADA!$A$2:$X$20,23,FALSE),0)</f>
        <v>81951.219512195123</v>
      </c>
      <c r="N3" s="8">
        <f ca="1">IFERROR(VLOOKUP(B3,LLEGADA!$A$2:$X$17,14,0),0)</f>
        <v>57750</v>
      </c>
      <c r="O3" s="8">
        <f ca="1">IFERROR(VLOOKUP(B3,LLEGADA!$A$2:$X$17,19,0),0)</f>
        <v>63238.933186692324</v>
      </c>
      <c r="P3" s="10">
        <f>ECONOMICOS!$B$4</f>
        <v>1.0999999999999999E-2</v>
      </c>
      <c r="Q3" s="11">
        <f t="shared" si="0"/>
        <v>7350000</v>
      </c>
      <c r="R3" s="11">
        <f t="shared" si="1"/>
        <v>80850</v>
      </c>
      <c r="S3" s="11">
        <f t="shared" ca="1" si="2"/>
        <v>7879706.7322974578</v>
      </c>
      <c r="T3" s="12">
        <f t="shared" si="3"/>
        <v>5.5</v>
      </c>
      <c r="U3" s="12">
        <f t="shared" si="4"/>
        <v>0.8085</v>
      </c>
      <c r="V3" s="13">
        <f t="shared" ca="1" si="5"/>
        <v>1.7811657959857023</v>
      </c>
      <c r="W3" s="13">
        <f t="shared" si="6"/>
        <v>0</v>
      </c>
      <c r="X3" s="13">
        <f t="shared" si="7"/>
        <v>0.81951219512195128</v>
      </c>
      <c r="Y3" s="13">
        <f t="shared" ca="1" si="8"/>
        <v>1.2448893318669234</v>
      </c>
      <c r="Z3" s="14">
        <f t="shared" si="9"/>
        <v>0.64300000000000002</v>
      </c>
      <c r="AA3" s="15">
        <f t="shared" ca="1" si="10"/>
        <v>10.797067322974579</v>
      </c>
      <c r="AB3" s="13">
        <f>IF(H3="RETORNO CARGA",ECONOMICOS!$B$7,0)</f>
        <v>0</v>
      </c>
      <c r="AC3" s="6">
        <f t="shared" si="11"/>
        <v>0</v>
      </c>
      <c r="AD3" s="11">
        <f t="shared" ref="AD2:AD3" si="19">AE3+AF3+AG3+AH3</f>
        <v>64300</v>
      </c>
      <c r="AE3" s="11">
        <f t="shared" si="12"/>
        <v>36750</v>
      </c>
      <c r="AF3" s="11">
        <f t="shared" si="13"/>
        <v>22050</v>
      </c>
      <c r="AG3" s="11">
        <f t="shared" si="14"/>
        <v>5500</v>
      </c>
      <c r="AH3" s="11">
        <f t="shared" si="15"/>
        <v>0</v>
      </c>
      <c r="AI3" s="16">
        <f t="shared" si="16"/>
        <v>0</v>
      </c>
      <c r="AJ3" s="16">
        <f t="shared" si="17"/>
        <v>0</v>
      </c>
      <c r="AK3" s="17">
        <f t="shared" si="18"/>
        <v>0</v>
      </c>
    </row>
    <row r="4" spans="1:37" ht="14.25" customHeight="1">
      <c r="A4" s="5" t="str">
        <f>IFERROR(VLOOKUP(B4,LLEGADA!$A$2:$W$17,4,FALSE),0)</f>
        <v>E1-Ecopetrol (Exportación-Flete asumido cliente)-FUEL OIL-100-MBBL-MUSD$7</v>
      </c>
      <c r="B4" s="6" t="str">
        <f>COMPRAS!A4</f>
        <v>E1</v>
      </c>
      <c r="C4" s="6" t="str">
        <f>IFERROR(VLOOKUP($B4,COMPRAS!$A$2:$D$15,3,0),0)</f>
        <v>FUEL OIL</v>
      </c>
      <c r="D4" s="6" t="str">
        <f>IFERROR(VLOOKUP($B4,COMPRAS!$A$2:$D$15,4,0),0)</f>
        <v>Ecopetrol (Exportación-Flete asumido cliente)</v>
      </c>
      <c r="E4" s="7">
        <f>IFERROR(VLOOKUP($B4,COMPRAS!$A$2:$G$15,6,0),0)</f>
        <v>100000</v>
      </c>
      <c r="F4" s="8">
        <f>IFERROR(VLOOKUP($B4,COMPRAS!$A$2:$G$15,7,0),0)</f>
        <v>7000000</v>
      </c>
      <c r="G4" s="9">
        <f>IFERROR(VLOOKUP($B4,COMPRAS!$A$2:$J$15,9,0),0)*E4</f>
        <v>0</v>
      </c>
      <c r="H4" s="8" t="str">
        <f>IFERROR(VLOOKUP(B4,LLEGADA!$A$2:$X$17,8,0),0)</f>
        <v>RETORNO CARGA</v>
      </c>
      <c r="I4" s="8">
        <f ca="1">IFERROR(VLOOKUP(B4,LLEGADA!$A$2:$X$17,13,0),0)</f>
        <v>0</v>
      </c>
      <c r="J4" s="8">
        <f>IFERROR(VLOOKUP(B4,LLEGADA!$A$2:$X$17,18,0),0)</f>
        <v>0</v>
      </c>
      <c r="K4" s="8">
        <f>IFERROR(VLOOKUP(B4,LLEGADA!$A$2:$X$17,24,0),0)</f>
        <v>0</v>
      </c>
      <c r="L4" s="8">
        <f>IFERROR(VLOOKUP(B4,LLEGADA!$A$2:$X$17,21,0),0)</f>
        <v>0</v>
      </c>
      <c r="M4" s="8">
        <f>IFERROR(VLOOKUP(B4,LLEGADA!$A$2:$X$20,23,FALSE),0)</f>
        <v>0</v>
      </c>
      <c r="N4" s="8">
        <f ca="1">IFERROR(VLOOKUP(B4,LLEGADA!$A$2:$X$17,14,0),0)</f>
        <v>0</v>
      </c>
      <c r="O4" s="8">
        <f ca="1">IFERROR(VLOOKUP(B4,LLEGADA!$A$2:$X$17,19,0),0)</f>
        <v>0</v>
      </c>
      <c r="P4" s="10">
        <f>ECONOMICOS!$B$4</f>
        <v>1.0999999999999999E-2</v>
      </c>
      <c r="Q4" s="11">
        <f t="shared" si="0"/>
        <v>7000000</v>
      </c>
      <c r="R4" s="11">
        <f t="shared" si="1"/>
        <v>77000</v>
      </c>
      <c r="S4" s="11">
        <f t="shared" si="2"/>
        <v>0</v>
      </c>
      <c r="T4" s="12">
        <f t="shared" si="3"/>
        <v>2</v>
      </c>
      <c r="U4" s="12">
        <f t="shared" si="4"/>
        <v>0.76999999999999991</v>
      </c>
      <c r="V4" s="13">
        <f t="shared" ca="1" si="5"/>
        <v>0</v>
      </c>
      <c r="W4" s="13">
        <f t="shared" si="6"/>
        <v>0</v>
      </c>
      <c r="X4" s="13">
        <f t="shared" si="7"/>
        <v>0</v>
      </c>
      <c r="Y4" s="13">
        <f t="shared" ca="1" si="8"/>
        <v>0</v>
      </c>
      <c r="Z4" s="18">
        <v>0</v>
      </c>
      <c r="AA4" s="15">
        <f t="shared" si="10"/>
        <v>0</v>
      </c>
      <c r="AB4" s="13">
        <f>IF(H4="RETORNO CARGA",ECONOMICOS!$B$7,0)</f>
        <v>7</v>
      </c>
      <c r="AC4" s="13">
        <f t="shared" ca="1" si="11"/>
        <v>4.2300000000000004</v>
      </c>
      <c r="AD4" s="11">
        <v>0</v>
      </c>
      <c r="AE4" s="11">
        <f t="shared" si="12"/>
        <v>0</v>
      </c>
      <c r="AF4" s="11">
        <f t="shared" si="13"/>
        <v>0</v>
      </c>
      <c r="AG4" s="11">
        <f t="shared" si="14"/>
        <v>0</v>
      </c>
      <c r="AH4" s="11">
        <f t="shared" si="15"/>
        <v>24499.999999999996</v>
      </c>
      <c r="AI4" s="17">
        <f t="shared" si="16"/>
        <v>0.24499999999999997</v>
      </c>
      <c r="AJ4" s="16">
        <f t="shared" si="17"/>
        <v>7101500</v>
      </c>
      <c r="AK4" s="17">
        <f t="shared" si="18"/>
        <v>3.0150000000000006</v>
      </c>
    </row>
    <row r="5" spans="1:37" ht="14.25" customHeight="1">
      <c r="A5" s="5" t="str">
        <f>IFERROR(VLOOKUP(B5,LLEGADA!$A$2:$W$17,4,FALSE),0)</f>
        <v>I3-GUNVOR Mediano-LIGHT OIL-100-MBBL-MUSD$7</v>
      </c>
      <c r="B5" s="6" t="str">
        <f>COMPRAS!A5</f>
        <v>I3</v>
      </c>
      <c r="C5" s="6" t="str">
        <f>IFERROR(VLOOKUP($B5,COMPRAS!$A$2:$D$15,3,0),0)</f>
        <v>LIGHT OIL</v>
      </c>
      <c r="D5" s="6" t="str">
        <f>IFERROR(VLOOKUP($B5,COMPRAS!$A$2:$D$15,4,0),0)</f>
        <v>GUNVOR Mediano</v>
      </c>
      <c r="E5" s="7">
        <f>IFERROR(VLOOKUP($B5,COMPRAS!$A$2:$G$15,6,0),0)</f>
        <v>100000</v>
      </c>
      <c r="F5" s="8">
        <f>IFERROR(VLOOKUP($B5,COMPRAS!$A$2:$G$15,7,0),0)</f>
        <v>7000000</v>
      </c>
      <c r="G5" s="9">
        <f>IFERROR(VLOOKUP($B5,COMPRAS!$A$2:$J$15,9,0),0)*E5</f>
        <v>350000</v>
      </c>
      <c r="H5" s="8" t="str">
        <f>IFERROR(VLOOKUP(B5,LLEGADA!$A$2:$X$17,8,0),0)</f>
        <v>SPD</v>
      </c>
      <c r="I5" s="8">
        <f ca="1">IFERROR(VLOOKUP(B5,LLEGADA!$A$2:$X$17,13,0),0)</f>
        <v>72750</v>
      </c>
      <c r="J5" s="8">
        <f>IFERROR(VLOOKUP(B5,LLEGADA!$A$2:$X$17,18,0),0)</f>
        <v>63238.933186692324</v>
      </c>
      <c r="K5" s="8">
        <f>IFERROR(VLOOKUP(B5,LLEGADA!$A$2:$X$17,24,0),0)</f>
        <v>0</v>
      </c>
      <c r="L5" s="8">
        <f>IFERROR(VLOOKUP(B5,LLEGADA!$A$2:$X$17,21,0),0)</f>
        <v>0</v>
      </c>
      <c r="M5" s="8">
        <f>IFERROR(VLOOKUP(B5,LLEGADA!$A$2:$X$20,23,FALSE),0)</f>
        <v>0</v>
      </c>
      <c r="N5" s="8">
        <f ca="1">IFERROR(VLOOKUP(B5,LLEGADA!$A$2:$X$17,14,0),0)</f>
        <v>0</v>
      </c>
      <c r="O5" s="8">
        <f ca="1">IFERROR(VLOOKUP(B5,LLEGADA!$A$2:$X$17,19,0),0)</f>
        <v>0</v>
      </c>
      <c r="P5" s="10">
        <f>ECONOMICOS!$B$4</f>
        <v>1.0999999999999999E-2</v>
      </c>
      <c r="Q5" s="11">
        <f t="shared" si="0"/>
        <v>7350000</v>
      </c>
      <c r="R5" s="11">
        <f t="shared" si="1"/>
        <v>80850</v>
      </c>
      <c r="S5" s="11">
        <f t="shared" ca="1" si="2"/>
        <v>7631138.9331866922</v>
      </c>
      <c r="T5" s="12">
        <f t="shared" si="3"/>
        <v>5.5</v>
      </c>
      <c r="U5" s="12">
        <f t="shared" si="4"/>
        <v>0.8085</v>
      </c>
      <c r="V5" s="13">
        <f t="shared" ca="1" si="5"/>
        <v>1.3598893318669234</v>
      </c>
      <c r="W5" s="13">
        <f t="shared" si="6"/>
        <v>0</v>
      </c>
      <c r="X5" s="13">
        <f t="shared" si="7"/>
        <v>0</v>
      </c>
      <c r="Y5" s="13">
        <f t="shared" ca="1" si="8"/>
        <v>0</v>
      </c>
      <c r="Z5" s="14">
        <f t="shared" ref="Z5:Z14" si="20">(AE5+AF5+AG5+AH5)/E5</f>
        <v>0.64300000000000002</v>
      </c>
      <c r="AA5" s="15">
        <f t="shared" ca="1" si="10"/>
        <v>8.3113893318669234</v>
      </c>
      <c r="AB5" s="13">
        <f>IF(H5="RETORNO CARGA",ECONOMICOS!$B$7,0)</f>
        <v>0</v>
      </c>
      <c r="AC5" s="6">
        <f t="shared" si="11"/>
        <v>0</v>
      </c>
      <c r="AD5" s="11">
        <f t="shared" ref="AD5:AD14" si="21">AE5+AF5+AG5+AH5</f>
        <v>64300</v>
      </c>
      <c r="AE5" s="11">
        <f t="shared" si="12"/>
        <v>36750</v>
      </c>
      <c r="AF5" s="11">
        <f t="shared" si="13"/>
        <v>22050</v>
      </c>
      <c r="AG5" s="11">
        <f t="shared" si="14"/>
        <v>5500</v>
      </c>
      <c r="AH5" s="11">
        <f t="shared" si="15"/>
        <v>0</v>
      </c>
      <c r="AI5" s="16">
        <f t="shared" si="16"/>
        <v>0</v>
      </c>
      <c r="AJ5" s="16">
        <f t="shared" si="17"/>
        <v>0</v>
      </c>
      <c r="AK5" s="17">
        <f t="shared" si="18"/>
        <v>0</v>
      </c>
    </row>
    <row r="6" spans="1:37" ht="14.25" customHeight="1">
      <c r="A6" s="5" t="str">
        <f>IFERROR(VLOOKUP(B6,LLEGADA!$A$2:$W$17,4,FALSE),0)</f>
        <v>I4-GUNVOR Mediano-LIGHT OIL-100-MBBL-MUSD$7</v>
      </c>
      <c r="B6" s="6" t="str">
        <f>COMPRAS!A6</f>
        <v>I4</v>
      </c>
      <c r="C6" s="6" t="str">
        <f>IFERROR(VLOOKUP($B6,COMPRAS!$A$2:$D$15,3,0),0)</f>
        <v>LIGHT OIL</v>
      </c>
      <c r="D6" s="6" t="str">
        <f>IFERROR(VLOOKUP($B6,COMPRAS!$A$2:$D$15,4,0),0)</f>
        <v>GUNVOR Mediano</v>
      </c>
      <c r="E6" s="7">
        <f>IFERROR(VLOOKUP($B6,COMPRAS!$A$2:$G$15,6,0),0)</f>
        <v>100000</v>
      </c>
      <c r="F6" s="8">
        <f>IFERROR(VLOOKUP($B6,COMPRAS!$A$2:$G$15,7,0),0)</f>
        <v>7000000</v>
      </c>
      <c r="G6" s="9">
        <f>IFERROR(VLOOKUP($B6,COMPRAS!$A$2:$J$15,9,0),0)*E6</f>
        <v>350000</v>
      </c>
      <c r="H6" s="8" t="str">
        <f>IFERROR(VLOOKUP(B6,LLEGADA!$A$2:$X$17,8,0),0)</f>
        <v>PETROMIL</v>
      </c>
      <c r="I6" s="8">
        <f ca="1">IFERROR(VLOOKUP(B6,LLEGADA!$A$2:$X$17,13,0),0)</f>
        <v>175000</v>
      </c>
      <c r="J6" s="8">
        <f>IFERROR(VLOOKUP(B6,LLEGADA!$A$2:$X$17,18,0),0)</f>
        <v>54990.376684080285</v>
      </c>
      <c r="K6" s="8">
        <f>IFERROR(VLOOKUP(B6,LLEGADA!$A$2:$X$17,24,0),0)</f>
        <v>0</v>
      </c>
      <c r="L6" s="8">
        <f>IFERROR(VLOOKUP(B6,LLEGADA!$A$2:$X$17,21,0),0)</f>
        <v>90000</v>
      </c>
      <c r="M6" s="8">
        <f>IFERROR(VLOOKUP(B6,LLEGADA!$A$2:$X$20,23,FALSE),0)</f>
        <v>0</v>
      </c>
      <c r="N6" s="8">
        <f ca="1">IFERROR(VLOOKUP(B6,LLEGADA!$A$2:$X$17,14,0),0)</f>
        <v>57750</v>
      </c>
      <c r="O6" s="8">
        <f ca="1">IFERROR(VLOOKUP(B6,LLEGADA!$A$2:$X$17,19,0),0)</f>
        <v>63238.933186692324</v>
      </c>
      <c r="P6" s="10">
        <f>ECONOMICOS!$B$4</f>
        <v>1.0999999999999999E-2</v>
      </c>
      <c r="Q6" s="11">
        <f t="shared" si="0"/>
        <v>7350000</v>
      </c>
      <c r="R6" s="11">
        <f t="shared" si="1"/>
        <v>80850</v>
      </c>
      <c r="S6" s="11">
        <f t="shared" ca="1" si="2"/>
        <v>7936129.309870773</v>
      </c>
      <c r="T6" s="12">
        <f t="shared" si="3"/>
        <v>5.5</v>
      </c>
      <c r="U6" s="12">
        <f t="shared" si="4"/>
        <v>0.8085</v>
      </c>
      <c r="V6" s="13">
        <f t="shared" ca="1" si="5"/>
        <v>2.2999037668408029</v>
      </c>
      <c r="W6" s="13">
        <f t="shared" si="6"/>
        <v>0.9</v>
      </c>
      <c r="X6" s="13">
        <f t="shared" si="7"/>
        <v>0</v>
      </c>
      <c r="Y6" s="13">
        <f t="shared" ca="1" si="8"/>
        <v>1.2098893318669233</v>
      </c>
      <c r="Z6" s="14">
        <f t="shared" si="20"/>
        <v>0.64300000000000002</v>
      </c>
      <c r="AA6" s="15">
        <f t="shared" ca="1" si="10"/>
        <v>11.361293098707728</v>
      </c>
      <c r="AB6" s="13">
        <f>IF(H6="RETORNO CARGA",ECONOMICOS!$B$7,0)</f>
        <v>0</v>
      </c>
      <c r="AC6" s="6">
        <f t="shared" si="11"/>
        <v>0</v>
      </c>
      <c r="AD6" s="11">
        <f t="shared" si="21"/>
        <v>64300</v>
      </c>
      <c r="AE6" s="11">
        <f t="shared" si="12"/>
        <v>36750</v>
      </c>
      <c r="AF6" s="11">
        <f t="shared" si="13"/>
        <v>22050</v>
      </c>
      <c r="AG6" s="11">
        <f t="shared" si="14"/>
        <v>5500</v>
      </c>
      <c r="AH6" s="11">
        <f t="shared" si="15"/>
        <v>0</v>
      </c>
      <c r="AI6" s="16">
        <f t="shared" si="16"/>
        <v>0</v>
      </c>
      <c r="AJ6" s="16">
        <f t="shared" si="17"/>
        <v>0</v>
      </c>
      <c r="AK6" s="17">
        <f t="shared" si="18"/>
        <v>0</v>
      </c>
    </row>
    <row r="7" spans="1:37" ht="14.25" customHeight="1">
      <c r="A7" s="5" t="str">
        <f>IFERROR(VLOOKUP(B7,LLEGADA!$A$2:$W$17,4,FALSE),0)</f>
        <v>I5-GUNVOR-LIGHT OIL-35-MBBL-MUSD$2,45</v>
      </c>
      <c r="B7" s="6" t="str">
        <f>COMPRAS!A7</f>
        <v>I5</v>
      </c>
      <c r="C7" s="6" t="str">
        <f>IFERROR(VLOOKUP($B7,COMPRAS!$A$2:$D$15,3,0),0)</f>
        <v>LIGHT OIL</v>
      </c>
      <c r="D7" s="6" t="str">
        <f>IFERROR(VLOOKUP($B7,COMPRAS!$A$2:$D$15,4,0),0)</f>
        <v>GUNVOR</v>
      </c>
      <c r="E7" s="7">
        <f>IFERROR(VLOOKUP($B7,COMPRAS!$A$2:$G$15,6,0),0)</f>
        <v>35000</v>
      </c>
      <c r="F7" s="8">
        <f>IFERROR(VLOOKUP($B7,COMPRAS!$A$2:$G$15,7,0),0)</f>
        <v>2450000</v>
      </c>
      <c r="G7" s="9">
        <f>IFERROR(VLOOKUP($B7,COMPRAS!$A$2:$J$15,9,0),0)*E7</f>
        <v>140000</v>
      </c>
      <c r="H7" s="8" t="str">
        <f>IFERROR(VLOOKUP(B7,LLEGADA!$A$2:$X$17,8,0),0)</f>
        <v>SPD</v>
      </c>
      <c r="I7" s="8">
        <f ca="1">IFERROR(VLOOKUP(B7,LLEGADA!$A$2:$X$17,13,0),0)</f>
        <v>24750</v>
      </c>
      <c r="J7" s="8">
        <f>IFERROR(VLOOKUP(B7,LLEGADA!$A$2:$X$17,18,0),0)</f>
        <v>22133.626615342313</v>
      </c>
      <c r="K7" s="8">
        <f>IFERROR(VLOOKUP(B7,LLEGADA!$A$2:$X$17,24,0),0)</f>
        <v>0</v>
      </c>
      <c r="L7" s="8">
        <f>IFERROR(VLOOKUP(B7,LLEGADA!$A$2:$X$17,21,0),0)</f>
        <v>0</v>
      </c>
      <c r="M7" s="8">
        <f>IFERROR(VLOOKUP(B7,LLEGADA!$A$2:$X$20,23,FALSE),0)</f>
        <v>0</v>
      </c>
      <c r="N7" s="8">
        <f ca="1">IFERROR(VLOOKUP(B7,LLEGADA!$A$2:$X$17,14,0),0)</f>
        <v>0</v>
      </c>
      <c r="O7" s="8">
        <f ca="1">IFERROR(VLOOKUP(B7,LLEGADA!$A$2:$X$17,19,0),0)</f>
        <v>0</v>
      </c>
      <c r="P7" s="10">
        <f>ECONOMICOS!$B$4</f>
        <v>1.0999999999999999E-2</v>
      </c>
      <c r="Q7" s="11">
        <f t="shared" si="0"/>
        <v>2590000</v>
      </c>
      <c r="R7" s="11">
        <f t="shared" si="1"/>
        <v>28490</v>
      </c>
      <c r="S7" s="11">
        <f t="shared" ca="1" si="2"/>
        <v>2691593.6266153422</v>
      </c>
      <c r="T7" s="12">
        <f t="shared" si="3"/>
        <v>6</v>
      </c>
      <c r="U7" s="12">
        <f t="shared" si="4"/>
        <v>0.81399999999999995</v>
      </c>
      <c r="V7" s="13">
        <f t="shared" ca="1" si="5"/>
        <v>1.3395321890097804</v>
      </c>
      <c r="W7" s="13">
        <f t="shared" si="6"/>
        <v>0</v>
      </c>
      <c r="X7" s="13">
        <f t="shared" si="7"/>
        <v>0</v>
      </c>
      <c r="Y7" s="13">
        <f t="shared" ca="1" si="8"/>
        <v>0</v>
      </c>
      <c r="Z7" s="14">
        <f t="shared" si="20"/>
        <v>0.74914285714285711</v>
      </c>
      <c r="AA7" s="15">
        <f t="shared" ca="1" si="10"/>
        <v>8.9026750461526376</v>
      </c>
      <c r="AB7" s="13">
        <f>IF(H7="RETORNO CARGA",ECONOMICOS!$B$7,0)</f>
        <v>0</v>
      </c>
      <c r="AC7" s="6">
        <f t="shared" si="11"/>
        <v>0</v>
      </c>
      <c r="AD7" s="11">
        <f t="shared" si="21"/>
        <v>26220</v>
      </c>
      <c r="AE7" s="11">
        <f t="shared" si="12"/>
        <v>12950</v>
      </c>
      <c r="AF7" s="11">
        <f t="shared" si="13"/>
        <v>7770</v>
      </c>
      <c r="AG7" s="11">
        <f t="shared" si="14"/>
        <v>5500</v>
      </c>
      <c r="AH7" s="11">
        <f t="shared" si="15"/>
        <v>0</v>
      </c>
      <c r="AI7" s="16">
        <f t="shared" si="16"/>
        <v>0</v>
      </c>
      <c r="AJ7" s="16">
        <f t="shared" si="17"/>
        <v>0</v>
      </c>
      <c r="AK7" s="17">
        <f t="shared" si="18"/>
        <v>0</v>
      </c>
    </row>
    <row r="8" spans="1:37" ht="14.25" customHeight="1">
      <c r="A8" s="5" t="str">
        <f>IFERROR(VLOOKUP(B8,LLEGADA!$A$2:$W$17,4,FALSE),0)</f>
        <v>I6-BB Energy-LIGHT OIL-20-MBBL-MUSD$1,44</v>
      </c>
      <c r="B8" s="6" t="str">
        <f>COMPRAS!A8</f>
        <v>I6</v>
      </c>
      <c r="C8" s="6" t="str">
        <f>IFERROR(VLOOKUP($B8,COMPRAS!$A$2:$D$15,3,0),0)</f>
        <v>LIGHT OIL</v>
      </c>
      <c r="D8" s="6" t="str">
        <f>IFERROR(VLOOKUP($B8,COMPRAS!$A$2:$D$15,4,0),0)</f>
        <v>BB Energy</v>
      </c>
      <c r="E8" s="7">
        <f>IFERROR(VLOOKUP($B8,COMPRAS!$A$2:$G$15,6,0),0)</f>
        <v>20000</v>
      </c>
      <c r="F8" s="8">
        <f>IFERROR(VLOOKUP($B8,COMPRAS!$A$2:$G$15,7,0),0)</f>
        <v>1440000</v>
      </c>
      <c r="G8" s="9">
        <f>IFERROR(VLOOKUP($B8,COMPRAS!$A$2:$J$15,9,0),0)*E8</f>
        <v>100000</v>
      </c>
      <c r="H8" s="8" t="str">
        <f>IFERROR(VLOOKUP(B8,LLEGADA!$A$2:$X$17,8,0),0)</f>
        <v>SPD</v>
      </c>
      <c r="I8" s="8">
        <f ca="1">IFERROR(VLOOKUP(B8,LLEGADA!$A$2:$X$17,13,0),0)</f>
        <v>15000</v>
      </c>
      <c r="J8" s="8">
        <f>IFERROR(VLOOKUP(B8,LLEGADA!$A$2:$X$17,18,0),0)</f>
        <v>12570.02322721683</v>
      </c>
      <c r="K8" s="8">
        <f>IFERROR(VLOOKUP(B8,LLEGADA!$A$2:$X$17,24,0),0)</f>
        <v>0</v>
      </c>
      <c r="L8" s="8">
        <f>IFERROR(VLOOKUP(B8,LLEGADA!$A$2:$X$17,21,0),0)</f>
        <v>0</v>
      </c>
      <c r="M8" s="8">
        <f>IFERROR(VLOOKUP(B8,LLEGADA!$A$2:$X$20,23,FALSE),0)</f>
        <v>0</v>
      </c>
      <c r="N8" s="8">
        <f ca="1">IFERROR(VLOOKUP(B8,LLEGADA!$A$2:$X$17,14,0),0)</f>
        <v>0</v>
      </c>
      <c r="O8" s="8">
        <f ca="1">IFERROR(VLOOKUP(B8,LLEGADA!$A$2:$X$17,19,0),0)</f>
        <v>0</v>
      </c>
      <c r="P8" s="10">
        <f>ECONOMICOS!$B$4</f>
        <v>1.0999999999999999E-2</v>
      </c>
      <c r="Q8" s="11">
        <f t="shared" si="0"/>
        <v>1540000</v>
      </c>
      <c r="R8" s="11">
        <f t="shared" si="1"/>
        <v>16940</v>
      </c>
      <c r="S8" s="11">
        <f t="shared" ca="1" si="2"/>
        <v>1602330.0232272169</v>
      </c>
      <c r="T8" s="12">
        <f t="shared" si="3"/>
        <v>9</v>
      </c>
      <c r="U8" s="12">
        <f t="shared" si="4"/>
        <v>0.84699999999999998</v>
      </c>
      <c r="V8" s="13">
        <f t="shared" ca="1" si="5"/>
        <v>1.3785011613608413</v>
      </c>
      <c r="W8" s="13">
        <f t="shared" si="6"/>
        <v>0</v>
      </c>
      <c r="X8" s="13">
        <f t="shared" si="7"/>
        <v>0</v>
      </c>
      <c r="Y8" s="13">
        <f t="shared" ca="1" si="8"/>
        <v>0</v>
      </c>
      <c r="Z8" s="14">
        <f t="shared" si="20"/>
        <v>0.89100000000000001</v>
      </c>
      <c r="AA8" s="15">
        <f t="shared" ca="1" si="10"/>
        <v>12.116501161360841</v>
      </c>
      <c r="AB8" s="13">
        <f>IF(H8="RETORNO CARGA",ECONOMICOS!$B$7,0)</f>
        <v>0</v>
      </c>
      <c r="AC8" s="6">
        <f t="shared" si="11"/>
        <v>0</v>
      </c>
      <c r="AD8" s="11">
        <f t="shared" si="21"/>
        <v>17820</v>
      </c>
      <c r="AE8" s="11">
        <f t="shared" si="12"/>
        <v>7700</v>
      </c>
      <c r="AF8" s="11">
        <f t="shared" si="13"/>
        <v>4620</v>
      </c>
      <c r="AG8" s="11">
        <f t="shared" si="14"/>
        <v>5500</v>
      </c>
      <c r="AH8" s="11">
        <f t="shared" si="15"/>
        <v>0</v>
      </c>
      <c r="AI8" s="16">
        <f t="shared" si="16"/>
        <v>0</v>
      </c>
      <c r="AJ8" s="16">
        <f t="shared" si="17"/>
        <v>0</v>
      </c>
      <c r="AK8" s="17">
        <f t="shared" si="18"/>
        <v>0</v>
      </c>
    </row>
    <row r="9" spans="1:37" ht="14.25" customHeight="1">
      <c r="A9" s="5" t="str">
        <f>IFERROR(VLOOKUP(B9,LLEGADA!$A$2:$W$17,4,FALSE),0)</f>
        <v>I7-GUNVOR Mediano-LIGHT OIL-300-MBBL-MUSD$20,4</v>
      </c>
      <c r="B9" s="6" t="str">
        <f>COMPRAS!A9</f>
        <v>I7</v>
      </c>
      <c r="C9" s="6" t="str">
        <f>IFERROR(VLOOKUP($B9,COMPRAS!$A$2:$D$15,3,0),0)</f>
        <v>LIGHT OIL</v>
      </c>
      <c r="D9" s="6" t="str">
        <f>IFERROR(VLOOKUP($B9,COMPRAS!$A$2:$D$15,4,0),0)</f>
        <v>GUNVOR Mediano</v>
      </c>
      <c r="E9" s="7">
        <f>IFERROR(VLOOKUP($B9,COMPRAS!$A$2:$G$15,6,0),0)</f>
        <v>300000</v>
      </c>
      <c r="F9" s="8">
        <f>IFERROR(VLOOKUP($B9,COMPRAS!$A$2:$G$15,7,0),0)</f>
        <v>20400000</v>
      </c>
      <c r="G9" s="9">
        <f>IFERROR(VLOOKUP($B9,COMPRAS!$A$2:$J$15,9,0),0)*E9</f>
        <v>600000</v>
      </c>
      <c r="H9" s="8" t="str">
        <f>IFERROR(VLOOKUP(B9,LLEGADA!$A$2:$X$17,8,0),0)</f>
        <v>PUERTO_BAHIA</v>
      </c>
      <c r="I9" s="8">
        <f ca="1">IFERROR(VLOOKUP(B9,LLEGADA!$A$2:$X$17,13,0),0)</f>
        <v>390000</v>
      </c>
      <c r="J9" s="8">
        <f>IFERROR(VLOOKUP(B9,LLEGADA!$A$2:$X$17,18,0),0)</f>
        <v>154753.13190862196</v>
      </c>
      <c r="K9" s="8">
        <f>IFERROR(VLOOKUP(B9,LLEGADA!$A$2:$X$17,24,0),0)</f>
        <v>10500.000000000002</v>
      </c>
      <c r="L9" s="8">
        <f>IFERROR(VLOOKUP(B9,LLEGADA!$A$2:$X$17,21,0),0)</f>
        <v>0</v>
      </c>
      <c r="M9" s="8">
        <f>IFERROR(VLOOKUP(B9,LLEGADA!$A$2:$X$20,23,FALSE),0)</f>
        <v>245853.65853658534</v>
      </c>
      <c r="N9" s="8">
        <f ca="1">IFERROR(VLOOKUP(B9,LLEGADA!$A$2:$X$17,14,0),0)</f>
        <v>153750</v>
      </c>
      <c r="O9" s="8">
        <f ca="1">IFERROR(VLOOKUP(B9,LLEGADA!$A$2:$X$17,19,0),0)</f>
        <v>203389.83050847458</v>
      </c>
      <c r="P9" s="10">
        <f>ECONOMICOS!$B$4</f>
        <v>1.0999999999999999E-2</v>
      </c>
      <c r="Q9" s="11">
        <f t="shared" si="0"/>
        <v>21000000</v>
      </c>
      <c r="R9" s="11">
        <f t="shared" si="1"/>
        <v>231000</v>
      </c>
      <c r="S9" s="11">
        <f t="shared" ca="1" si="2"/>
        <v>22565746.620953683</v>
      </c>
      <c r="T9" s="12">
        <f t="shared" si="3"/>
        <v>2</v>
      </c>
      <c r="U9" s="12">
        <f t="shared" si="4"/>
        <v>0.76999999999999991</v>
      </c>
      <c r="V9" s="13">
        <f t="shared" ca="1" si="5"/>
        <v>1.81584377302874</v>
      </c>
      <c r="W9" s="13">
        <f t="shared" si="6"/>
        <v>0</v>
      </c>
      <c r="X9" s="13">
        <f t="shared" si="7"/>
        <v>0.81951219512195117</v>
      </c>
      <c r="Y9" s="13">
        <f t="shared" ca="1" si="8"/>
        <v>1.2254661016949153</v>
      </c>
      <c r="Z9" s="14">
        <f t="shared" si="20"/>
        <v>0.58833333333333337</v>
      </c>
      <c r="AA9" s="15">
        <f t="shared" ca="1" si="10"/>
        <v>7.2191554031789398</v>
      </c>
      <c r="AB9" s="13">
        <f>IF(H9="RETORNO CARGA",ECONOMICOS!$B$7,0)</f>
        <v>0</v>
      </c>
      <c r="AC9" s="6">
        <f t="shared" si="11"/>
        <v>0</v>
      </c>
      <c r="AD9" s="11">
        <f t="shared" si="21"/>
        <v>176500</v>
      </c>
      <c r="AE9" s="11">
        <f t="shared" si="12"/>
        <v>105000</v>
      </c>
      <c r="AF9" s="11">
        <f t="shared" si="13"/>
        <v>63000</v>
      </c>
      <c r="AG9" s="11">
        <f t="shared" si="14"/>
        <v>8500</v>
      </c>
      <c r="AH9" s="11">
        <f t="shared" si="15"/>
        <v>0</v>
      </c>
      <c r="AI9" s="16">
        <f t="shared" si="16"/>
        <v>0</v>
      </c>
      <c r="AJ9" s="16">
        <f t="shared" si="17"/>
        <v>0</v>
      </c>
      <c r="AK9" s="17">
        <f t="shared" si="18"/>
        <v>0</v>
      </c>
    </row>
    <row r="10" spans="1:37" ht="14.25" customHeight="1">
      <c r="A10" s="5" t="str">
        <f>IFERROR(VLOOKUP(B10,LLEGADA!$A$2:$W$17,4,FALSE),0)</f>
        <v>I8-GUNVOR-LIGHT OIL-50-MBBL-MUSD$3,5</v>
      </c>
      <c r="B10" s="6" t="str">
        <f>COMPRAS!A10</f>
        <v>I8</v>
      </c>
      <c r="C10" s="6" t="str">
        <f>IFERROR(VLOOKUP($B10,COMPRAS!$A$2:$D$15,3,0),0)</f>
        <v>LIGHT OIL</v>
      </c>
      <c r="D10" s="6" t="str">
        <f>IFERROR(VLOOKUP($B10,COMPRAS!$A$2:$D$15,4,0),0)</f>
        <v>GUNVOR</v>
      </c>
      <c r="E10" s="7">
        <f>IFERROR(VLOOKUP($B10,COMPRAS!$A$2:$G$15,6,0),0)</f>
        <v>50000</v>
      </c>
      <c r="F10" s="8">
        <f>IFERROR(VLOOKUP($B10,COMPRAS!$A$2:$G$15,7,0),0)</f>
        <v>3500000</v>
      </c>
      <c r="G10" s="9">
        <f>IFERROR(VLOOKUP($B10,COMPRAS!$A$2:$J$15,9,0),0)*E10</f>
        <v>200000</v>
      </c>
      <c r="H10" s="8" t="str">
        <f>IFERROR(VLOOKUP(B10,LLEGADA!$A$2:$X$17,8,0),0)</f>
        <v>SPD</v>
      </c>
      <c r="I10" s="8">
        <f ca="1">IFERROR(VLOOKUP(B10,LLEGADA!$A$2:$X$17,13,0),0)</f>
        <v>33750</v>
      </c>
      <c r="J10" s="8">
        <f>IFERROR(VLOOKUP(B10,LLEGADA!$A$2:$X$17,18,0),0)</f>
        <v>32011.134307585246</v>
      </c>
      <c r="K10" s="8">
        <f>IFERROR(VLOOKUP(B10,LLEGADA!$A$2:$X$17,24,0),0)</f>
        <v>0</v>
      </c>
      <c r="L10" s="8">
        <f>IFERROR(VLOOKUP(B10,LLEGADA!$A$2:$X$17,21,0),0)</f>
        <v>0</v>
      </c>
      <c r="M10" s="8">
        <f>IFERROR(VLOOKUP(B10,LLEGADA!$A$2:$X$20,23,FALSE),0)</f>
        <v>0</v>
      </c>
      <c r="N10" s="8">
        <f ca="1">IFERROR(VLOOKUP(B10,LLEGADA!$A$2:$X$17,14,0),0)</f>
        <v>0</v>
      </c>
      <c r="O10" s="8">
        <f ca="1">IFERROR(VLOOKUP(B10,LLEGADA!$A$2:$X$17,19,0),0)</f>
        <v>0</v>
      </c>
      <c r="P10" s="10">
        <f>ECONOMICOS!$B$4</f>
        <v>1.0999999999999999E-2</v>
      </c>
      <c r="Q10" s="11">
        <f t="shared" si="0"/>
        <v>3700000</v>
      </c>
      <c r="R10" s="11">
        <f t="shared" si="1"/>
        <v>40700</v>
      </c>
      <c r="S10" s="11">
        <f t="shared" ca="1" si="2"/>
        <v>3841561.1343075852</v>
      </c>
      <c r="T10" s="12">
        <f t="shared" si="3"/>
        <v>6</v>
      </c>
      <c r="U10" s="12">
        <f t="shared" si="4"/>
        <v>0.81399999999999995</v>
      </c>
      <c r="V10" s="13">
        <f t="shared" ca="1" si="5"/>
        <v>1.3152226861517049</v>
      </c>
      <c r="W10" s="13">
        <f t="shared" si="6"/>
        <v>0</v>
      </c>
      <c r="X10" s="13">
        <f t="shared" si="7"/>
        <v>0</v>
      </c>
      <c r="Y10" s="13">
        <f t="shared" ca="1" si="8"/>
        <v>0</v>
      </c>
      <c r="Z10" s="14">
        <f t="shared" si="20"/>
        <v>0.70199999999999996</v>
      </c>
      <c r="AA10" s="15">
        <f t="shared" ca="1" si="10"/>
        <v>8.8312226861517047</v>
      </c>
      <c r="AB10" s="13">
        <f>IF(H10="RETORNO CARGA",ECONOMICOS!$B$7,0)</f>
        <v>0</v>
      </c>
      <c r="AC10" s="6">
        <f t="shared" si="11"/>
        <v>0</v>
      </c>
      <c r="AD10" s="11">
        <f t="shared" si="21"/>
        <v>35100</v>
      </c>
      <c r="AE10" s="11">
        <f t="shared" si="12"/>
        <v>18500</v>
      </c>
      <c r="AF10" s="11">
        <f t="shared" si="13"/>
        <v>11100</v>
      </c>
      <c r="AG10" s="11">
        <f t="shared" si="14"/>
        <v>5500</v>
      </c>
      <c r="AH10" s="11">
        <f t="shared" si="15"/>
        <v>0</v>
      </c>
      <c r="AI10" s="16">
        <f t="shared" si="16"/>
        <v>0</v>
      </c>
      <c r="AJ10" s="16">
        <f t="shared" si="17"/>
        <v>0</v>
      </c>
      <c r="AK10" s="17">
        <f t="shared" si="18"/>
        <v>0</v>
      </c>
    </row>
    <row r="11" spans="1:37" ht="14.25" customHeight="1">
      <c r="A11" s="5" t="str">
        <f>IFERROR(VLOOKUP(B11,LLEGADA!$A$2:$W$17,4,FALSE),0)</f>
        <v>I9-BB Energy-LIGHT OIL-75-MBBL-MUSD$5,2875</v>
      </c>
      <c r="B11" s="6" t="str">
        <f>COMPRAS!A11</f>
        <v>I9</v>
      </c>
      <c r="C11" s="6" t="str">
        <f>IFERROR(VLOOKUP($B11,COMPRAS!$A$2:$D$15,3,0),0)</f>
        <v>LIGHT OIL</v>
      </c>
      <c r="D11" s="6" t="str">
        <f>IFERROR(VLOOKUP($B11,COMPRAS!$A$2:$D$15,4,0),0)</f>
        <v>BB Energy</v>
      </c>
      <c r="E11" s="7">
        <f>IFERROR(VLOOKUP($B11,COMPRAS!$A$2:$G$15,6,0),0)</f>
        <v>75000</v>
      </c>
      <c r="F11" s="8">
        <f>IFERROR(VLOOKUP($B11,COMPRAS!$A$2:$G$15,7,0),0)</f>
        <v>5287500</v>
      </c>
      <c r="G11" s="9">
        <f>IFERROR(VLOOKUP($B11,COMPRAS!$A$2:$J$15,9,0),0)*E11</f>
        <v>300000</v>
      </c>
      <c r="H11" s="8" t="str">
        <f>IFERROR(VLOOKUP(B11,LLEGADA!$A$2:$X$17,8,0),0)</f>
        <v>SPD</v>
      </c>
      <c r="I11" s="8">
        <f ca="1">IFERROR(VLOOKUP(B11,LLEGADA!$A$2:$X$17,13,0),0)</f>
        <v>60750</v>
      </c>
      <c r="J11" s="8">
        <f>IFERROR(VLOOKUP(B11,LLEGADA!$A$2:$X$17,18,0),0)</f>
        <v>48618.940248027058</v>
      </c>
      <c r="K11" s="8">
        <f>IFERROR(VLOOKUP(B11,LLEGADA!$A$2:$X$17,24,0),0)</f>
        <v>0</v>
      </c>
      <c r="L11" s="8">
        <f>IFERROR(VLOOKUP(B11,LLEGADA!$A$2:$X$17,21,0),0)</f>
        <v>0</v>
      </c>
      <c r="M11" s="8">
        <f>IFERROR(VLOOKUP(B11,LLEGADA!$A$2:$X$20,23,FALSE),0)</f>
        <v>0</v>
      </c>
      <c r="N11" s="8">
        <f ca="1">IFERROR(VLOOKUP(B11,LLEGADA!$A$2:$X$17,14,0),0)</f>
        <v>0</v>
      </c>
      <c r="O11" s="8">
        <f ca="1">IFERROR(VLOOKUP(B11,LLEGADA!$A$2:$X$17,19,0),0)</f>
        <v>0</v>
      </c>
      <c r="P11" s="10">
        <f>ECONOMICOS!$B$4</f>
        <v>1.0999999999999999E-2</v>
      </c>
      <c r="Q11" s="11">
        <f t="shared" si="0"/>
        <v>5587500</v>
      </c>
      <c r="R11" s="11">
        <f t="shared" si="1"/>
        <v>61462.5</v>
      </c>
      <c r="S11" s="11">
        <f t="shared" ca="1" si="2"/>
        <v>5808531.4402480274</v>
      </c>
      <c r="T11" s="12">
        <f t="shared" si="3"/>
        <v>6.5</v>
      </c>
      <c r="U11" s="12">
        <f t="shared" si="4"/>
        <v>0.81950000000000001</v>
      </c>
      <c r="V11" s="13">
        <f t="shared" ca="1" si="5"/>
        <v>1.4582525366403609</v>
      </c>
      <c r="W11" s="13">
        <f t="shared" si="6"/>
        <v>0</v>
      </c>
      <c r="X11" s="13">
        <f t="shared" si="7"/>
        <v>0</v>
      </c>
      <c r="Y11" s="13">
        <f t="shared" ca="1" si="8"/>
        <v>0</v>
      </c>
      <c r="Z11" s="14">
        <f t="shared" si="20"/>
        <v>0.66933333333333334</v>
      </c>
      <c r="AA11" s="15">
        <f t="shared" ca="1" si="10"/>
        <v>9.4470858699736944</v>
      </c>
      <c r="AB11" s="13">
        <f>IF(H11="RETORNO CARGA",ECONOMICOS!$B$7,0)</f>
        <v>0</v>
      </c>
      <c r="AC11" s="6">
        <f t="shared" si="11"/>
        <v>0</v>
      </c>
      <c r="AD11" s="11">
        <f t="shared" si="21"/>
        <v>50200</v>
      </c>
      <c r="AE11" s="11">
        <f t="shared" si="12"/>
        <v>27937.5</v>
      </c>
      <c r="AF11" s="11">
        <f t="shared" si="13"/>
        <v>16762.5</v>
      </c>
      <c r="AG11" s="11">
        <f t="shared" si="14"/>
        <v>5500</v>
      </c>
      <c r="AH11" s="11">
        <f t="shared" si="15"/>
        <v>0</v>
      </c>
      <c r="AI11" s="16">
        <f t="shared" si="16"/>
        <v>0</v>
      </c>
      <c r="AJ11" s="16">
        <f t="shared" si="17"/>
        <v>0</v>
      </c>
      <c r="AK11" s="17">
        <f t="shared" si="18"/>
        <v>0</v>
      </c>
    </row>
    <row r="12" spans="1:37" ht="14.25" customHeight="1">
      <c r="A12" s="5" t="str">
        <f>IFERROR(VLOOKUP(B12,LLEGADA!$A$2:$W$17,4,FALSE),0)</f>
        <v>I10-GUNVOR Mediano-LIGHT OIL-15-MBBL-MUSD$1,065</v>
      </c>
      <c r="B12" s="6" t="str">
        <f>COMPRAS!A12</f>
        <v>I10</v>
      </c>
      <c r="C12" s="6" t="str">
        <f>IFERROR(VLOOKUP($B12,COMPRAS!$A$2:$D$15,3,0),0)</f>
        <v>LIGHT OIL</v>
      </c>
      <c r="D12" s="6" t="str">
        <f>IFERROR(VLOOKUP($B12,COMPRAS!$A$2:$D$15,4,0),0)</f>
        <v>GUNVOR Mediano</v>
      </c>
      <c r="E12" s="7">
        <f>IFERROR(VLOOKUP($B12,COMPRAS!$A$2:$G$15,6,0),0)</f>
        <v>15000</v>
      </c>
      <c r="F12" s="8">
        <f>IFERROR(VLOOKUP($B12,COMPRAS!$A$2:$G$15,7,0),0)</f>
        <v>1065000</v>
      </c>
      <c r="G12" s="9">
        <f>IFERROR(VLOOKUP($B12,COMPRAS!$A$2:$J$15,9,0),0)*E12</f>
        <v>75000</v>
      </c>
      <c r="H12" s="8" t="str">
        <f>IFERROR(VLOOKUP(B12,LLEGADA!$A$2:$X$17,8,0),0)</f>
        <v>PALERMO</v>
      </c>
      <c r="I12" s="8">
        <f ca="1">IFERROR(VLOOKUP(B12,LLEGADA!$A$2:$X$17,13,0),0)</f>
        <v>22500</v>
      </c>
      <c r="J12" s="8">
        <f>IFERROR(VLOOKUP(B12,LLEGADA!$A$2:$X$17,18,0),0)</f>
        <v>8350.7306889352822</v>
      </c>
      <c r="K12" s="8">
        <f>IFERROR(VLOOKUP(B12,LLEGADA!$A$2:$X$17,24,0),0)</f>
        <v>525</v>
      </c>
      <c r="L12" s="8">
        <f>IFERROR(VLOOKUP(B12,LLEGADA!$A$2:$X$17,21,0),0)</f>
        <v>0</v>
      </c>
      <c r="M12" s="8">
        <f>IFERROR(VLOOKUP(B12,LLEGADA!$A$2:$X$20,23,FALSE),0)</f>
        <v>27658.536585365855</v>
      </c>
      <c r="N12" s="8">
        <f ca="1">IFERROR(VLOOKUP(B12,LLEGADA!$A$2:$X$17,14,0),0)</f>
        <v>11249.999999999998</v>
      </c>
      <c r="O12" s="8">
        <f ca="1">IFERROR(VLOOKUP(B12,LLEGADA!$A$2:$X$17,19,0),0)</f>
        <v>9603.340292275574</v>
      </c>
      <c r="P12" s="10">
        <f>ECONOMICOS!$B$4</f>
        <v>1.0999999999999999E-2</v>
      </c>
      <c r="Q12" s="11">
        <f t="shared" si="0"/>
        <v>1140000</v>
      </c>
      <c r="R12" s="11">
        <f t="shared" si="1"/>
        <v>12540</v>
      </c>
      <c r="S12" s="11">
        <f t="shared" ca="1" si="2"/>
        <v>1247047.6075665767</v>
      </c>
      <c r="T12" s="12">
        <f t="shared" si="3"/>
        <v>8</v>
      </c>
      <c r="U12" s="12">
        <f t="shared" si="4"/>
        <v>0.83599999999999997</v>
      </c>
      <c r="V12" s="13">
        <f t="shared" ca="1" si="5"/>
        <v>2.0567153792623523</v>
      </c>
      <c r="W12" s="13">
        <f t="shared" si="6"/>
        <v>0</v>
      </c>
      <c r="X12" s="13">
        <f t="shared" si="7"/>
        <v>1.8439024390243903</v>
      </c>
      <c r="Y12" s="13">
        <f t="shared" ca="1" si="8"/>
        <v>1.4252226861517048</v>
      </c>
      <c r="Z12" s="14">
        <f t="shared" si="20"/>
        <v>0.97466666666666668</v>
      </c>
      <c r="AA12" s="15">
        <f t="shared" ca="1" si="10"/>
        <v>15.136507171105112</v>
      </c>
      <c r="AB12" s="13">
        <f>IF(H12="RETORNO CARGA",ECONOMICOS!$B$7,0)</f>
        <v>0</v>
      </c>
      <c r="AC12" s="6">
        <f t="shared" si="11"/>
        <v>0</v>
      </c>
      <c r="AD12" s="11">
        <f t="shared" si="21"/>
        <v>14620</v>
      </c>
      <c r="AE12" s="11">
        <f t="shared" si="12"/>
        <v>5700</v>
      </c>
      <c r="AF12" s="11">
        <f t="shared" si="13"/>
        <v>3420</v>
      </c>
      <c r="AG12" s="11">
        <f t="shared" si="14"/>
        <v>5500</v>
      </c>
      <c r="AH12" s="11">
        <f t="shared" si="15"/>
        <v>0</v>
      </c>
      <c r="AI12" s="16">
        <f t="shared" si="16"/>
        <v>0</v>
      </c>
      <c r="AJ12" s="16">
        <f t="shared" si="17"/>
        <v>0</v>
      </c>
      <c r="AK12" s="17">
        <f t="shared" si="18"/>
        <v>0</v>
      </c>
    </row>
    <row r="13" spans="1:37" ht="14.25" customHeight="1">
      <c r="A13" s="5" t="str">
        <f>IFERROR(VLOOKUP(B13,LLEGADA!$A$2:$W$17,4,FALSE),0)</f>
        <v>I11-BB Energy-LIGHT OIL-200-MBBL-MUSD$13,6</v>
      </c>
      <c r="B13" s="6" t="str">
        <f>COMPRAS!A13</f>
        <v>I11</v>
      </c>
      <c r="C13" s="6" t="str">
        <f>IFERROR(VLOOKUP($B13,COMPRAS!$A$2:$D$15,3,0),0)</f>
        <v>LIGHT OIL</v>
      </c>
      <c r="D13" s="6" t="str">
        <f>IFERROR(VLOOKUP($B13,COMPRAS!$A$2:$D$15,4,0),0)</f>
        <v>BB Energy</v>
      </c>
      <c r="E13" s="7">
        <f>IFERROR(VLOOKUP($B13,COMPRAS!$A$2:$G$15,6,0),0)</f>
        <v>200000</v>
      </c>
      <c r="F13" s="8">
        <f>IFERROR(VLOOKUP($B13,COMPRAS!$A$2:$G$15,7,0),0)</f>
        <v>13600000</v>
      </c>
      <c r="G13" s="9">
        <f>IFERROR(VLOOKUP($B13,COMPRAS!$A$2:$J$15,9,0),0)*E13</f>
        <v>600000</v>
      </c>
      <c r="H13" s="8" t="str">
        <f>IFERROR(VLOOKUP(B13,LLEGADA!$A$2:$X$17,8,0),0)</f>
        <v>PETROMIL</v>
      </c>
      <c r="I13" s="8">
        <f ca="1">IFERROR(VLOOKUP(B13,LLEGADA!$A$2:$X$17,13,0),0)</f>
        <v>265000</v>
      </c>
      <c r="J13" s="8">
        <f>IFERROR(VLOOKUP(B13,LLEGADA!$A$2:$X$17,18,0),0)</f>
        <v>114893.00588826655</v>
      </c>
      <c r="K13" s="8">
        <f>IFERROR(VLOOKUP(B13,LLEGADA!$A$2:$X$17,24,0),0)</f>
        <v>0</v>
      </c>
      <c r="L13" s="8">
        <f>IFERROR(VLOOKUP(B13,LLEGADA!$A$2:$X$17,21,0),0)</f>
        <v>180000</v>
      </c>
      <c r="M13" s="8">
        <f>IFERROR(VLOOKUP(B13,LLEGADA!$A$2:$X$20,23,FALSE),0)</f>
        <v>0</v>
      </c>
      <c r="N13" s="8">
        <f ca="1">IFERROR(VLOOKUP(B13,LLEGADA!$A$2:$X$17,14,0),0)</f>
        <v>105750</v>
      </c>
      <c r="O13" s="8">
        <f ca="1">IFERROR(VLOOKUP(B13,LLEGADA!$A$2:$X$17,19,0),0)</f>
        <v>132126.95677150652</v>
      </c>
      <c r="P13" s="10">
        <f>ECONOMICOS!$B$4</f>
        <v>1.0999999999999999E-2</v>
      </c>
      <c r="Q13" s="11">
        <f t="shared" si="0"/>
        <v>14200000</v>
      </c>
      <c r="R13" s="11">
        <f t="shared" si="1"/>
        <v>156200</v>
      </c>
      <c r="S13" s="11">
        <f t="shared" ca="1" si="2"/>
        <v>15276069.962659772</v>
      </c>
      <c r="T13" s="12">
        <f t="shared" si="3"/>
        <v>3</v>
      </c>
      <c r="U13" s="12">
        <f t="shared" si="4"/>
        <v>0.78099999999999992</v>
      </c>
      <c r="V13" s="13">
        <f t="shared" ca="1" si="5"/>
        <v>1.8994650294413327</v>
      </c>
      <c r="W13" s="13">
        <f t="shared" si="6"/>
        <v>0.9</v>
      </c>
      <c r="X13" s="13">
        <f t="shared" si="7"/>
        <v>0</v>
      </c>
      <c r="Y13" s="13">
        <f t="shared" ca="1" si="8"/>
        <v>1.1893847838575327</v>
      </c>
      <c r="Z13" s="14">
        <f t="shared" si="20"/>
        <v>0.61050000000000004</v>
      </c>
      <c r="AA13" s="15">
        <f t="shared" ca="1" si="10"/>
        <v>8.3803498132988654</v>
      </c>
      <c r="AB13" s="13">
        <f>IF(H13="RETORNO CARGA",ECONOMICOS!$B$7,0)</f>
        <v>0</v>
      </c>
      <c r="AC13" s="6">
        <f t="shared" si="11"/>
        <v>0</v>
      </c>
      <c r="AD13" s="11">
        <f t="shared" si="21"/>
        <v>122100</v>
      </c>
      <c r="AE13" s="11">
        <f t="shared" si="12"/>
        <v>71000</v>
      </c>
      <c r="AF13" s="11">
        <f t="shared" si="13"/>
        <v>42600</v>
      </c>
      <c r="AG13" s="11">
        <f t="shared" si="14"/>
        <v>8500</v>
      </c>
      <c r="AH13" s="11">
        <f t="shared" si="15"/>
        <v>0</v>
      </c>
      <c r="AI13" s="16">
        <f t="shared" si="16"/>
        <v>0</v>
      </c>
      <c r="AJ13" s="16">
        <f t="shared" si="17"/>
        <v>0</v>
      </c>
      <c r="AK13" s="17">
        <f t="shared" si="18"/>
        <v>0</v>
      </c>
    </row>
    <row r="14" spans="1:37" ht="14.25" customHeight="1">
      <c r="A14" s="5" t="str">
        <f>IFERROR(VLOOKUP(B14,LLEGADA!$A$2:$W$17,4,FALSE),0)</f>
        <v>I12-GUNVOR-LIGHT OIL-50-MBBL-MUSD$3,55</v>
      </c>
      <c r="B14" s="6" t="str">
        <f>COMPRAS!A14</f>
        <v>I12</v>
      </c>
      <c r="C14" s="6" t="str">
        <f>IFERROR(VLOOKUP($B14,COMPRAS!$A$2:$D$15,3,0),0)</f>
        <v>LIGHT OIL</v>
      </c>
      <c r="D14" s="6" t="str">
        <f>IFERROR(VLOOKUP($B14,COMPRAS!$A$2:$D$15,4,0),0)</f>
        <v>GUNVOR</v>
      </c>
      <c r="E14" s="7">
        <f>IFERROR(VLOOKUP($B14,COMPRAS!$A$2:$G$15,6,0),0)</f>
        <v>50000</v>
      </c>
      <c r="F14" s="8">
        <f>IFERROR(VLOOKUP($B14,COMPRAS!$A$2:$G$15,7,0),0)</f>
        <v>3550000</v>
      </c>
      <c r="G14" s="9">
        <f>IFERROR(VLOOKUP($B14,COMPRAS!$A$2:$J$15,9,0),0)*E14</f>
        <v>200000</v>
      </c>
      <c r="H14" s="8" t="str">
        <f>IFERROR(VLOOKUP(B14,LLEGADA!$A$2:$X$17,8,0),0)</f>
        <v>SPD</v>
      </c>
      <c r="I14" s="8">
        <f ca="1">IFERROR(VLOOKUP(B14,LLEGADA!$A$2:$X$17,13,0),0)</f>
        <v>33750</v>
      </c>
      <c r="J14" s="8">
        <f>IFERROR(VLOOKUP(B14,LLEGADA!$A$2:$X$17,18,0),0)</f>
        <v>32011.134307585246</v>
      </c>
      <c r="K14" s="8">
        <f>IFERROR(VLOOKUP(B14,LLEGADA!$A$2:$X$17,24,0),0)</f>
        <v>0</v>
      </c>
      <c r="L14" s="8">
        <f>IFERROR(VLOOKUP(B14,LLEGADA!$A$2:$X$17,21,0),0)</f>
        <v>0</v>
      </c>
      <c r="M14" s="8">
        <f>IFERROR(VLOOKUP(B14,LLEGADA!$A$2:$X$20,23,FALSE),0)</f>
        <v>0</v>
      </c>
      <c r="N14" s="8">
        <f ca="1">IFERROR(VLOOKUP(B14,LLEGADA!$A$2:$X$17,14,0),0)</f>
        <v>0</v>
      </c>
      <c r="O14" s="8">
        <f ca="1">IFERROR(VLOOKUP(B14,LLEGADA!$A$2:$X$17,19,0),0)</f>
        <v>0</v>
      </c>
      <c r="P14" s="10">
        <f>ECONOMICOS!$B$4</f>
        <v>1.0999999999999999E-2</v>
      </c>
      <c r="Q14" s="11">
        <f t="shared" si="0"/>
        <v>3750000</v>
      </c>
      <c r="R14" s="11">
        <f t="shared" si="1"/>
        <v>41250</v>
      </c>
      <c r="S14" s="11">
        <f t="shared" ca="1" si="2"/>
        <v>3892511.1343075852</v>
      </c>
      <c r="T14" s="12">
        <f t="shared" si="3"/>
        <v>7</v>
      </c>
      <c r="U14" s="12">
        <f t="shared" si="4"/>
        <v>0.82499999999999996</v>
      </c>
      <c r="V14" s="13">
        <f t="shared" ca="1" si="5"/>
        <v>1.3152226861517049</v>
      </c>
      <c r="W14" s="13">
        <f t="shared" si="6"/>
        <v>0</v>
      </c>
      <c r="X14" s="13">
        <f t="shared" si="7"/>
        <v>0</v>
      </c>
      <c r="Y14" s="13">
        <f t="shared" ca="1" si="8"/>
        <v>0</v>
      </c>
      <c r="Z14" s="14">
        <f t="shared" si="20"/>
        <v>0.71</v>
      </c>
      <c r="AA14" s="15">
        <f t="shared" ca="1" si="10"/>
        <v>9.8502226861517066</v>
      </c>
      <c r="AB14" s="13">
        <f>IF(H14="RETORNO CARGA",ECONOMICOS!$B$7,0)</f>
        <v>0</v>
      </c>
      <c r="AC14" s="6">
        <f t="shared" si="11"/>
        <v>0</v>
      </c>
      <c r="AD14" s="11">
        <f t="shared" si="21"/>
        <v>35500</v>
      </c>
      <c r="AE14" s="11">
        <f t="shared" si="12"/>
        <v>18750</v>
      </c>
      <c r="AF14" s="11">
        <f t="shared" si="13"/>
        <v>11250</v>
      </c>
      <c r="AG14" s="11">
        <f t="shared" si="14"/>
        <v>5500</v>
      </c>
      <c r="AH14" s="11">
        <f t="shared" si="15"/>
        <v>0</v>
      </c>
      <c r="AI14" s="16">
        <f t="shared" si="16"/>
        <v>0</v>
      </c>
      <c r="AJ14" s="16">
        <f t="shared" si="17"/>
        <v>0</v>
      </c>
      <c r="AK14" s="17">
        <f t="shared" si="18"/>
        <v>0</v>
      </c>
    </row>
    <row r="15" spans="1:37" ht="14.25" customHeight="1">
      <c r="A15" s="5">
        <f>IFERROR(VLOOKUP(B15,LLEGADA!$A$2:$W$17,4,FALSE),0)</f>
        <v>0</v>
      </c>
      <c r="B15" s="19">
        <f>COMPRAS!A15</f>
        <v>0</v>
      </c>
      <c r="C15" s="6">
        <f>IFERROR(VLOOKUP($B15,COMPRAS!$A$2:$D$15,3,0),0)</f>
        <v>0</v>
      </c>
      <c r="D15" s="6">
        <f>IFERROR(VLOOKUP($B15,COMPRAS!$A$2:$D$15,4,0),0)</f>
        <v>0</v>
      </c>
      <c r="E15" s="7">
        <f>IFERROR(VLOOKUP($B15,COMPRAS!$A$2:$G$15,6,0),0)</f>
        <v>0</v>
      </c>
      <c r="F15" s="8">
        <f>IFERROR(VLOOKUP($B15,COMPRAS!$A$2:$G$15,7,0),0)</f>
        <v>0</v>
      </c>
      <c r="G15" s="9">
        <f>IFERROR(VLOOKUP($B15,COMPRAS!$A$2:$J$15,9,0),0)*E15</f>
        <v>0</v>
      </c>
      <c r="H15" s="8">
        <f>IFERROR(VLOOKUP(B15,LLEGADA!$A$2:$X$17,8,0),0)</f>
        <v>0</v>
      </c>
      <c r="I15" s="8">
        <f>IFERROR(VLOOKUP(B15,LLEGADA!$A$2:$X$17,13,0),0)</f>
        <v>0</v>
      </c>
      <c r="J15" s="8">
        <f>IFERROR(VLOOKUP(B15,LLEGADA!$A$2:$X$17,18,0),0)</f>
        <v>0</v>
      </c>
      <c r="K15" s="8">
        <f>IFERROR(VLOOKUP(B15,LLEGADA!$A$2:$X$17,24,0),0)</f>
        <v>0</v>
      </c>
      <c r="L15" s="8">
        <f>IFERROR(VLOOKUP(B15,LLEGADA!$A$2:$X$17,21,0),0)</f>
        <v>0</v>
      </c>
      <c r="M15" s="8">
        <f>IFERROR(VLOOKUP(B15,LLEGADA!$A$2:$X$20,23,FALSE),0)</f>
        <v>0</v>
      </c>
      <c r="N15" s="8">
        <f>IFERROR(VLOOKUP(B15,LLEGADA!$A$2:$X$17,14,0),0)</f>
        <v>0</v>
      </c>
      <c r="O15" s="8">
        <f>IFERROR(VLOOKUP(B15,LLEGADA!$A$2:$X$17,19,0),0)</f>
        <v>0</v>
      </c>
      <c r="P15" s="10">
        <f>ECONOMICOS!$B$4</f>
        <v>1.0999999999999999E-2</v>
      </c>
      <c r="Q15" s="11">
        <f t="shared" si="0"/>
        <v>0</v>
      </c>
      <c r="R15" s="11">
        <f t="shared" si="1"/>
        <v>0</v>
      </c>
      <c r="S15" s="11">
        <f t="shared" si="2"/>
        <v>0</v>
      </c>
      <c r="T15" s="12"/>
      <c r="U15" s="6"/>
      <c r="V15" s="6"/>
      <c r="W15" s="13"/>
      <c r="X15" s="6"/>
      <c r="Y15" s="13"/>
      <c r="Z15" s="20"/>
      <c r="AA15" s="6"/>
      <c r="AB15" s="6"/>
      <c r="AC15" s="6"/>
      <c r="AD15" s="11"/>
      <c r="AE15" s="11"/>
      <c r="AF15" s="11"/>
      <c r="AG15" s="11"/>
      <c r="AH15" s="11">
        <f>IF(AB15&gt;0,F15*0.4%,0)</f>
        <v>0</v>
      </c>
      <c r="AI15" s="11"/>
      <c r="AJ15" s="16">
        <f t="shared" si="17"/>
        <v>0</v>
      </c>
      <c r="AK15" s="16"/>
    </row>
    <row r="16" spans="1:37" ht="14.25" customHeight="1">
      <c r="A16" s="5">
        <f>IFERROR(VLOOKUP(B16,LLEGADA!$A$2:$W$17,4,FALSE),0)</f>
        <v>0</v>
      </c>
      <c r="B16" s="6">
        <f>COMPRAS!A16</f>
        <v>0</v>
      </c>
      <c r="C16" s="6">
        <f>IFERROR(VLOOKUP($B16,COMPRAS!$A$2:$D$15,3,0),0)</f>
        <v>0</v>
      </c>
      <c r="D16" s="6">
        <f>IFERROR(VLOOKUP($B16,COMPRAS!$A$2:$D$15,4,0),0)</f>
        <v>0</v>
      </c>
      <c r="E16" s="7">
        <f>IFERROR(VLOOKUP($B16,COMPRAS!$A$2:$G$15,6,0),0)</f>
        <v>0</v>
      </c>
      <c r="F16" s="8">
        <f>IFERROR(VLOOKUP($B16,COMPRAS!$A$2:$G$15,7,0),0)</f>
        <v>0</v>
      </c>
      <c r="G16" s="9">
        <f>IFERROR(VLOOKUP($B16,COMPRAS!$A$2:$J$15,9,0),0)*E16</f>
        <v>0</v>
      </c>
      <c r="H16" s="8">
        <f>IFERROR(VLOOKUP(B16,LLEGADA!$A$2:$X$17,8,0),0)</f>
        <v>0</v>
      </c>
      <c r="I16" s="8">
        <f>IFERROR(VLOOKUP(B16,LLEGADA!$A$2:$X$17,13,0),0)</f>
        <v>0</v>
      </c>
      <c r="J16" s="8">
        <f>IFERROR(VLOOKUP(B16,LLEGADA!$A$2:$X$17,18,0),0)</f>
        <v>0</v>
      </c>
      <c r="K16" s="8">
        <f>IFERROR(VLOOKUP(B16,LLEGADA!$A$2:$X$17,24,0),0)</f>
        <v>0</v>
      </c>
      <c r="L16" s="8">
        <f>IFERROR(VLOOKUP(B16,LLEGADA!$A$2:$X$17,21,0),0)</f>
        <v>0</v>
      </c>
      <c r="M16" s="8">
        <f>IFERROR(VLOOKUP(B16,LLEGADA!$A$2:$X$20,23,FALSE),0)</f>
        <v>0</v>
      </c>
      <c r="N16" s="8">
        <f>IFERROR(VLOOKUP(B16,LLEGADA!$A$2:$X$17,14,0),0)</f>
        <v>0</v>
      </c>
      <c r="O16" s="8">
        <f>IFERROR(VLOOKUP(B16,LLEGADA!$A$2:$X$17,19,0),0)</f>
        <v>0</v>
      </c>
      <c r="P16" s="10">
        <f>ECONOMICOS!$B$4</f>
        <v>1.0999999999999999E-2</v>
      </c>
      <c r="Q16" s="11">
        <f t="shared" si="0"/>
        <v>0</v>
      </c>
      <c r="R16" s="11">
        <f t="shared" si="1"/>
        <v>0</v>
      </c>
      <c r="S16" s="11">
        <f>+Q16+SUM(I16:O16)</f>
        <v>0</v>
      </c>
      <c r="T16" s="11"/>
      <c r="U16" s="6"/>
      <c r="V16" s="6"/>
      <c r="W16" s="6"/>
      <c r="X16" s="6"/>
      <c r="Y16" s="6"/>
      <c r="AA16" s="6"/>
      <c r="AB16" s="6"/>
      <c r="AC16" s="6"/>
      <c r="AD16" s="11"/>
      <c r="AE16" s="11"/>
      <c r="AF16" s="11"/>
      <c r="AG16" s="11"/>
      <c r="AH16" s="11"/>
      <c r="AI16" s="11"/>
      <c r="AJ16" s="16">
        <f t="shared" si="17"/>
        <v>0</v>
      </c>
      <c r="AK16" s="16"/>
    </row>
    <row r="17" spans="1:37" ht="14.25" customHeight="1">
      <c r="A17" s="21"/>
      <c r="D17" s="6">
        <f>IFERROR(VLOOKUP($B17,COMPRAS!$A$2:$D$15,4,0),0)</f>
        <v>0</v>
      </c>
      <c r="E17" s="22"/>
      <c r="F17" s="8">
        <f>IFERROR(VLOOKUP($B17,COMPRAS!$A$2:$G$15,7,0),0)</f>
        <v>0</v>
      </c>
      <c r="G17" s="9">
        <f>IFERROR(VLOOKUP($B17,COMPRAS!$A$2:$J$15,9,0),0)*E17</f>
        <v>0</v>
      </c>
      <c r="AJ17" s="16">
        <f t="shared" si="17"/>
        <v>0</v>
      </c>
      <c r="AK17" s="16"/>
    </row>
    <row r="18" spans="1:37" ht="14.25" customHeight="1">
      <c r="A18" s="21"/>
      <c r="E18" s="22"/>
    </row>
    <row r="19" spans="1:37" ht="14.25" customHeight="1">
      <c r="A19" s="21"/>
      <c r="E19" s="22"/>
    </row>
    <row r="20" spans="1:37" ht="14.25" customHeight="1">
      <c r="A20" s="21"/>
      <c r="E20" s="22"/>
    </row>
    <row r="21" spans="1:37" ht="14.25" customHeight="1">
      <c r="A21" s="21"/>
      <c r="E21" s="22"/>
    </row>
    <row r="22" spans="1:37" ht="14.25" customHeight="1">
      <c r="A22" s="21"/>
      <c r="E22" s="22"/>
    </row>
    <row r="23" spans="1:37" ht="14.25" customHeight="1">
      <c r="A23" s="21"/>
      <c r="E23" s="22"/>
    </row>
    <row r="24" spans="1:37" ht="14.25" customHeight="1">
      <c r="A24" s="21"/>
      <c r="E24" s="22"/>
    </row>
    <row r="25" spans="1:37" ht="14.25" customHeight="1">
      <c r="A25" s="21"/>
      <c r="E25" s="22"/>
    </row>
    <row r="26" spans="1:37" ht="14.25" customHeight="1">
      <c r="A26" s="21"/>
      <c r="E26" s="22"/>
    </row>
    <row r="27" spans="1:37" ht="14.25" customHeight="1">
      <c r="A27" s="21"/>
      <c r="E27" s="22"/>
    </row>
    <row r="28" spans="1:37" ht="14.25" customHeight="1">
      <c r="A28" s="21"/>
      <c r="E28" s="22"/>
    </row>
    <row r="29" spans="1:37" ht="14.25" customHeight="1">
      <c r="A29" s="21"/>
      <c r="E29" s="22"/>
    </row>
    <row r="30" spans="1:37" ht="14.25" customHeight="1">
      <c r="A30" s="21"/>
      <c r="E30" s="22"/>
    </row>
    <row r="31" spans="1:37" ht="14.25" customHeight="1">
      <c r="A31" s="21"/>
      <c r="E31" s="22"/>
    </row>
    <row r="32" spans="1:37" ht="14.25" customHeight="1">
      <c r="A32" s="21"/>
      <c r="E32" s="22"/>
    </row>
    <row r="33" spans="1:5" ht="14.25" customHeight="1">
      <c r="A33" s="21"/>
      <c r="E33" s="22"/>
    </row>
    <row r="34" spans="1:5" ht="14.25" customHeight="1">
      <c r="A34" s="21"/>
      <c r="E34" s="22"/>
    </row>
    <row r="35" spans="1:5" ht="14.25" customHeight="1">
      <c r="A35" s="21"/>
      <c r="E35" s="22"/>
    </row>
    <row r="36" spans="1:5" ht="14.25" customHeight="1">
      <c r="A36" s="21"/>
      <c r="E36" s="22"/>
    </row>
    <row r="37" spans="1:5" ht="14.25" customHeight="1">
      <c r="A37" s="21"/>
      <c r="E37" s="22"/>
    </row>
    <row r="38" spans="1:5" ht="14.25" customHeight="1">
      <c r="A38" s="21"/>
      <c r="E38" s="22"/>
    </row>
    <row r="39" spans="1:5" ht="14.25" customHeight="1">
      <c r="A39" s="21"/>
      <c r="E39" s="22"/>
    </row>
    <row r="40" spans="1:5" ht="14.25" customHeight="1">
      <c r="A40" s="21"/>
      <c r="E40" s="22"/>
    </row>
    <row r="41" spans="1:5" ht="14.25" customHeight="1">
      <c r="A41" s="21"/>
      <c r="E41" s="22"/>
    </row>
    <row r="42" spans="1:5" ht="14.25" customHeight="1">
      <c r="A42" s="21"/>
      <c r="E42" s="22"/>
    </row>
    <row r="43" spans="1:5" ht="14.25" customHeight="1">
      <c r="A43" s="21"/>
      <c r="E43" s="22"/>
    </row>
    <row r="44" spans="1:5" ht="14.25" customHeight="1">
      <c r="A44" s="21"/>
      <c r="E44" s="22"/>
    </row>
    <row r="45" spans="1:5" ht="14.25" customHeight="1">
      <c r="A45" s="21"/>
      <c r="E45" s="22"/>
    </row>
    <row r="46" spans="1:5" ht="14.25" customHeight="1">
      <c r="A46" s="21"/>
      <c r="E46" s="22"/>
    </row>
    <row r="47" spans="1:5" ht="14.25" customHeight="1">
      <c r="A47" s="21"/>
      <c r="E47" s="22"/>
    </row>
    <row r="48" spans="1:5" ht="14.25" customHeight="1">
      <c r="A48" s="21"/>
      <c r="E48" s="22"/>
    </row>
    <row r="49" spans="1:5" ht="14.25" customHeight="1">
      <c r="A49" s="21"/>
      <c r="E49" s="22"/>
    </row>
    <row r="50" spans="1:5" ht="14.25" customHeight="1">
      <c r="A50" s="21"/>
      <c r="E50" s="22"/>
    </row>
    <row r="51" spans="1:5" ht="14.25" customHeight="1">
      <c r="A51" s="21"/>
      <c r="E51" s="22"/>
    </row>
    <row r="52" spans="1:5" ht="14.25" customHeight="1">
      <c r="A52" s="21"/>
      <c r="E52" s="22"/>
    </row>
    <row r="53" spans="1:5" ht="14.25" customHeight="1">
      <c r="A53" s="21"/>
      <c r="E53" s="22"/>
    </row>
    <row r="54" spans="1:5" ht="14.25" customHeight="1">
      <c r="A54" s="21"/>
      <c r="E54" s="22"/>
    </row>
    <row r="55" spans="1:5" ht="14.25" customHeight="1">
      <c r="A55" s="21"/>
      <c r="E55" s="22"/>
    </row>
    <row r="56" spans="1:5" ht="14.25" customHeight="1">
      <c r="A56" s="21"/>
      <c r="E56" s="22"/>
    </row>
    <row r="57" spans="1:5" ht="14.25" customHeight="1">
      <c r="A57" s="21"/>
      <c r="E57" s="22"/>
    </row>
    <row r="58" spans="1:5" ht="14.25" customHeight="1">
      <c r="A58" s="21"/>
      <c r="E58" s="22"/>
    </row>
    <row r="59" spans="1:5" ht="14.25" customHeight="1">
      <c r="A59" s="21"/>
      <c r="E59" s="22"/>
    </row>
    <row r="60" spans="1:5" ht="14.25" customHeight="1">
      <c r="A60" s="21"/>
      <c r="E60" s="22"/>
    </row>
    <row r="61" spans="1:5" ht="14.25" customHeight="1">
      <c r="A61" s="21"/>
      <c r="E61" s="22"/>
    </row>
    <row r="62" spans="1:5" ht="14.25" customHeight="1">
      <c r="A62" s="21"/>
      <c r="E62" s="22"/>
    </row>
    <row r="63" spans="1:5" ht="14.25" customHeight="1">
      <c r="A63" s="21"/>
      <c r="E63" s="22"/>
    </row>
    <row r="64" spans="1:5" ht="14.25" customHeight="1">
      <c r="A64" s="21"/>
      <c r="E64" s="22"/>
    </row>
    <row r="65" spans="1:5" ht="14.25" customHeight="1">
      <c r="A65" s="21"/>
      <c r="E65" s="22"/>
    </row>
    <row r="66" spans="1:5" ht="14.25" customHeight="1">
      <c r="A66" s="21"/>
      <c r="E66" s="22"/>
    </row>
    <row r="67" spans="1:5" ht="14.25" customHeight="1">
      <c r="A67" s="21"/>
      <c r="E67" s="22"/>
    </row>
    <row r="68" spans="1:5" ht="14.25" customHeight="1">
      <c r="A68" s="21"/>
      <c r="E68" s="22"/>
    </row>
    <row r="69" spans="1:5" ht="14.25" customHeight="1">
      <c r="A69" s="21"/>
      <c r="E69" s="22"/>
    </row>
    <row r="70" spans="1:5" ht="14.25" customHeight="1">
      <c r="A70" s="21"/>
      <c r="E70" s="22"/>
    </row>
    <row r="71" spans="1:5" ht="14.25" customHeight="1">
      <c r="A71" s="21"/>
      <c r="E71" s="22"/>
    </row>
    <row r="72" spans="1:5" ht="14.25" customHeight="1">
      <c r="A72" s="21"/>
      <c r="E72" s="22"/>
    </row>
    <row r="73" spans="1:5" ht="14.25" customHeight="1">
      <c r="A73" s="21"/>
      <c r="E73" s="22"/>
    </row>
    <row r="74" spans="1:5" ht="14.25" customHeight="1">
      <c r="A74" s="21"/>
      <c r="E74" s="22"/>
    </row>
    <row r="75" spans="1:5" ht="14.25" customHeight="1">
      <c r="A75" s="21"/>
      <c r="E75" s="22"/>
    </row>
    <row r="76" spans="1:5" ht="14.25" customHeight="1">
      <c r="A76" s="21"/>
      <c r="E76" s="22"/>
    </row>
    <row r="77" spans="1:5" ht="14.25" customHeight="1">
      <c r="A77" s="21"/>
      <c r="E77" s="22"/>
    </row>
    <row r="78" spans="1:5" ht="14.25" customHeight="1">
      <c r="A78" s="21"/>
      <c r="E78" s="22"/>
    </row>
    <row r="79" spans="1:5" ht="14.25" customHeight="1">
      <c r="A79" s="21"/>
      <c r="E79" s="22"/>
    </row>
    <row r="80" spans="1:5" ht="14.25" customHeight="1">
      <c r="A80" s="21"/>
      <c r="E80" s="22"/>
    </row>
    <row r="81" spans="1:5" ht="14.25" customHeight="1">
      <c r="A81" s="21"/>
      <c r="E81" s="22"/>
    </row>
    <row r="82" spans="1:5" ht="14.25" customHeight="1">
      <c r="A82" s="21"/>
      <c r="E82" s="22"/>
    </row>
    <row r="83" spans="1:5" ht="14.25" customHeight="1">
      <c r="A83" s="21"/>
      <c r="E83" s="22"/>
    </row>
    <row r="84" spans="1:5" ht="14.25" customHeight="1">
      <c r="A84" s="21"/>
      <c r="E84" s="22"/>
    </row>
    <row r="85" spans="1:5" ht="14.25" customHeight="1">
      <c r="A85" s="21"/>
      <c r="E85" s="22"/>
    </row>
    <row r="86" spans="1:5" ht="14.25" customHeight="1">
      <c r="A86" s="21"/>
      <c r="E86" s="22"/>
    </row>
    <row r="87" spans="1:5" ht="14.25" customHeight="1">
      <c r="A87" s="21"/>
      <c r="E87" s="22"/>
    </row>
    <row r="88" spans="1:5" ht="14.25" customHeight="1">
      <c r="A88" s="21"/>
      <c r="E88" s="22"/>
    </row>
    <row r="89" spans="1:5" ht="14.25" customHeight="1">
      <c r="A89" s="21"/>
      <c r="E89" s="22"/>
    </row>
    <row r="90" spans="1:5" ht="14.25" customHeight="1">
      <c r="A90" s="21"/>
      <c r="E90" s="22"/>
    </row>
    <row r="91" spans="1:5" ht="14.25" customHeight="1">
      <c r="A91" s="21"/>
      <c r="E91" s="22"/>
    </row>
    <row r="92" spans="1:5" ht="14.25" customHeight="1">
      <c r="A92" s="21"/>
      <c r="E92" s="22"/>
    </row>
    <row r="93" spans="1:5" ht="14.25" customHeight="1">
      <c r="A93" s="21"/>
      <c r="E93" s="22"/>
    </row>
    <row r="94" spans="1:5" ht="14.25" customHeight="1">
      <c r="A94" s="21"/>
      <c r="E94" s="22"/>
    </row>
    <row r="95" spans="1:5" ht="14.25" customHeight="1">
      <c r="A95" s="21"/>
      <c r="E95" s="22"/>
    </row>
    <row r="96" spans="1:5" ht="14.25" customHeight="1">
      <c r="A96" s="21"/>
      <c r="E96" s="22"/>
    </row>
    <row r="97" spans="1:5" ht="14.25" customHeight="1">
      <c r="A97" s="21"/>
      <c r="E97" s="22"/>
    </row>
    <row r="98" spans="1:5" ht="14.25" customHeight="1">
      <c r="A98" s="21"/>
      <c r="E98" s="22"/>
    </row>
    <row r="99" spans="1:5" ht="14.25" customHeight="1">
      <c r="A99" s="21"/>
      <c r="E99" s="22"/>
    </row>
    <row r="100" spans="1:5" ht="14.25" customHeight="1">
      <c r="A100" s="21"/>
      <c r="E100" s="22"/>
    </row>
    <row r="101" spans="1:5" ht="14.25" customHeight="1">
      <c r="A101" s="21"/>
      <c r="E101" s="22"/>
    </row>
    <row r="102" spans="1:5" ht="14.25" customHeight="1">
      <c r="A102" s="21"/>
      <c r="E102" s="22"/>
    </row>
    <row r="103" spans="1:5" ht="14.25" customHeight="1">
      <c r="A103" s="21"/>
      <c r="E103" s="22"/>
    </row>
    <row r="104" spans="1:5" ht="14.25" customHeight="1">
      <c r="A104" s="21"/>
      <c r="E104" s="22"/>
    </row>
    <row r="105" spans="1:5" ht="14.25" customHeight="1">
      <c r="A105" s="21"/>
      <c r="E105" s="22"/>
    </row>
    <row r="106" spans="1:5" ht="14.25" customHeight="1">
      <c r="A106" s="21"/>
      <c r="E106" s="22"/>
    </row>
    <row r="107" spans="1:5" ht="14.25" customHeight="1">
      <c r="A107" s="21"/>
      <c r="E107" s="22"/>
    </row>
    <row r="108" spans="1:5" ht="14.25" customHeight="1">
      <c r="A108" s="21"/>
      <c r="E108" s="22"/>
    </row>
    <row r="109" spans="1:5" ht="14.25" customHeight="1">
      <c r="A109" s="21"/>
      <c r="E109" s="22"/>
    </row>
    <row r="110" spans="1:5" ht="14.25" customHeight="1">
      <c r="A110" s="21"/>
      <c r="E110" s="22"/>
    </row>
    <row r="111" spans="1:5" ht="14.25" customHeight="1">
      <c r="A111" s="21"/>
      <c r="E111" s="22"/>
    </row>
    <row r="112" spans="1:5" ht="14.25" customHeight="1">
      <c r="A112" s="21"/>
      <c r="E112" s="22"/>
    </row>
    <row r="113" spans="1:5" ht="14.25" customHeight="1">
      <c r="A113" s="21"/>
      <c r="E113" s="22"/>
    </row>
    <row r="114" spans="1:5" ht="14.25" customHeight="1">
      <c r="A114" s="21"/>
      <c r="E114" s="22"/>
    </row>
    <row r="115" spans="1:5" ht="14.25" customHeight="1">
      <c r="A115" s="21"/>
      <c r="E115" s="22"/>
    </row>
    <row r="116" spans="1:5" ht="14.25" customHeight="1">
      <c r="A116" s="21"/>
      <c r="E116" s="22"/>
    </row>
    <row r="117" spans="1:5" ht="14.25" customHeight="1">
      <c r="A117" s="21"/>
      <c r="E117" s="22"/>
    </row>
    <row r="118" spans="1:5" ht="14.25" customHeight="1">
      <c r="A118" s="21"/>
      <c r="E118" s="22"/>
    </row>
    <row r="119" spans="1:5" ht="14.25" customHeight="1">
      <c r="A119" s="21"/>
      <c r="E119" s="22"/>
    </row>
    <row r="120" spans="1:5" ht="14.25" customHeight="1">
      <c r="A120" s="21"/>
      <c r="E120" s="22"/>
    </row>
    <row r="121" spans="1:5" ht="14.25" customHeight="1">
      <c r="A121" s="21"/>
      <c r="E121" s="22"/>
    </row>
    <row r="122" spans="1:5" ht="14.25" customHeight="1">
      <c r="A122" s="21"/>
      <c r="E122" s="22"/>
    </row>
    <row r="123" spans="1:5" ht="14.25" customHeight="1">
      <c r="A123" s="21"/>
      <c r="E123" s="22"/>
    </row>
    <row r="124" spans="1:5" ht="14.25" customHeight="1">
      <c r="A124" s="21"/>
      <c r="E124" s="22"/>
    </row>
    <row r="125" spans="1:5" ht="14.25" customHeight="1">
      <c r="A125" s="21"/>
      <c r="E125" s="22"/>
    </row>
    <row r="126" spans="1:5" ht="14.25" customHeight="1">
      <c r="A126" s="21"/>
      <c r="E126" s="22"/>
    </row>
    <row r="127" spans="1:5" ht="14.25" customHeight="1">
      <c r="A127" s="21"/>
      <c r="E127" s="22"/>
    </row>
    <row r="128" spans="1:5" ht="14.25" customHeight="1">
      <c r="A128" s="21"/>
      <c r="E128" s="22"/>
    </row>
    <row r="129" spans="1:5" ht="14.25" customHeight="1">
      <c r="A129" s="21"/>
      <c r="E129" s="22"/>
    </row>
    <row r="130" spans="1:5" ht="14.25" customHeight="1">
      <c r="A130" s="21"/>
      <c r="E130" s="22"/>
    </row>
    <row r="131" spans="1:5" ht="14.25" customHeight="1">
      <c r="A131" s="21"/>
      <c r="E131" s="22"/>
    </row>
    <row r="132" spans="1:5" ht="14.25" customHeight="1">
      <c r="A132" s="21"/>
      <c r="E132" s="22"/>
    </row>
    <row r="133" spans="1:5" ht="14.25" customHeight="1">
      <c r="A133" s="21"/>
      <c r="E133" s="22"/>
    </row>
    <row r="134" spans="1:5" ht="14.25" customHeight="1">
      <c r="A134" s="21"/>
      <c r="E134" s="22"/>
    </row>
    <row r="135" spans="1:5" ht="14.25" customHeight="1">
      <c r="A135" s="21"/>
      <c r="E135" s="22"/>
    </row>
    <row r="136" spans="1:5" ht="14.25" customHeight="1">
      <c r="A136" s="21"/>
      <c r="E136" s="22"/>
    </row>
    <row r="137" spans="1:5" ht="14.25" customHeight="1">
      <c r="A137" s="21"/>
      <c r="E137" s="22"/>
    </row>
    <row r="138" spans="1:5" ht="14.25" customHeight="1">
      <c r="A138" s="21"/>
      <c r="E138" s="22"/>
    </row>
    <row r="139" spans="1:5" ht="14.25" customHeight="1">
      <c r="A139" s="21"/>
      <c r="E139" s="22"/>
    </row>
    <row r="140" spans="1:5" ht="14.25" customHeight="1">
      <c r="A140" s="21"/>
      <c r="E140" s="22"/>
    </row>
    <row r="141" spans="1:5" ht="14.25" customHeight="1">
      <c r="A141" s="21"/>
      <c r="E141" s="22"/>
    </row>
    <row r="142" spans="1:5" ht="14.25" customHeight="1">
      <c r="A142" s="21"/>
      <c r="E142" s="22"/>
    </row>
    <row r="143" spans="1:5" ht="14.25" customHeight="1">
      <c r="A143" s="21"/>
      <c r="E143" s="22"/>
    </row>
    <row r="144" spans="1:5" ht="14.25" customHeight="1">
      <c r="A144" s="21"/>
      <c r="E144" s="22"/>
    </row>
    <row r="145" spans="1:5" ht="14.25" customHeight="1">
      <c r="A145" s="21"/>
      <c r="E145" s="22"/>
    </row>
    <row r="146" spans="1:5" ht="14.25" customHeight="1">
      <c r="A146" s="21"/>
      <c r="E146" s="22"/>
    </row>
    <row r="147" spans="1:5" ht="14.25" customHeight="1">
      <c r="A147" s="21"/>
      <c r="E147" s="22"/>
    </row>
    <row r="148" spans="1:5" ht="14.25" customHeight="1">
      <c r="A148" s="21"/>
      <c r="E148" s="22"/>
    </row>
    <row r="149" spans="1:5" ht="14.25" customHeight="1">
      <c r="A149" s="21"/>
      <c r="E149" s="22"/>
    </row>
    <row r="150" spans="1:5" ht="14.25" customHeight="1">
      <c r="A150" s="21"/>
      <c r="E150" s="22"/>
    </row>
    <row r="151" spans="1:5" ht="14.25" customHeight="1">
      <c r="A151" s="21"/>
      <c r="E151" s="22"/>
    </row>
    <row r="152" spans="1:5" ht="14.25" customHeight="1">
      <c r="A152" s="21"/>
      <c r="E152" s="22"/>
    </row>
    <row r="153" spans="1:5" ht="14.25" customHeight="1">
      <c r="A153" s="21"/>
      <c r="E153" s="22"/>
    </row>
    <row r="154" spans="1:5" ht="14.25" customHeight="1">
      <c r="A154" s="21"/>
      <c r="E154" s="22"/>
    </row>
    <row r="155" spans="1:5" ht="14.25" customHeight="1">
      <c r="A155" s="21"/>
      <c r="E155" s="22"/>
    </row>
    <row r="156" spans="1:5" ht="14.25" customHeight="1">
      <c r="A156" s="21"/>
      <c r="E156" s="22"/>
    </row>
    <row r="157" spans="1:5" ht="14.25" customHeight="1">
      <c r="A157" s="21"/>
      <c r="E157" s="22"/>
    </row>
    <row r="158" spans="1:5" ht="14.25" customHeight="1">
      <c r="A158" s="21"/>
      <c r="E158" s="22"/>
    </row>
    <row r="159" spans="1:5" ht="14.25" customHeight="1">
      <c r="A159" s="21"/>
      <c r="E159" s="22"/>
    </row>
    <row r="160" spans="1:5" ht="14.25" customHeight="1">
      <c r="A160" s="21"/>
      <c r="E160" s="22"/>
    </row>
    <row r="161" spans="1:5" ht="14.25" customHeight="1">
      <c r="A161" s="21"/>
      <c r="E161" s="22"/>
    </row>
    <row r="162" spans="1:5" ht="14.25" customHeight="1">
      <c r="A162" s="21"/>
      <c r="E162" s="22"/>
    </row>
    <row r="163" spans="1:5" ht="14.25" customHeight="1">
      <c r="A163" s="21"/>
      <c r="E163" s="22"/>
    </row>
    <row r="164" spans="1:5" ht="14.25" customHeight="1">
      <c r="A164" s="21"/>
      <c r="E164" s="22"/>
    </row>
    <row r="165" spans="1:5" ht="14.25" customHeight="1">
      <c r="A165" s="21"/>
      <c r="E165" s="22"/>
    </row>
    <row r="166" spans="1:5" ht="14.25" customHeight="1">
      <c r="A166" s="21"/>
      <c r="E166" s="22"/>
    </row>
    <row r="167" spans="1:5" ht="14.25" customHeight="1">
      <c r="A167" s="21"/>
      <c r="E167" s="22"/>
    </row>
    <row r="168" spans="1:5" ht="14.25" customHeight="1">
      <c r="A168" s="21"/>
      <c r="E168" s="22"/>
    </row>
    <row r="169" spans="1:5" ht="14.25" customHeight="1">
      <c r="A169" s="21"/>
      <c r="E169" s="22"/>
    </row>
    <row r="170" spans="1:5" ht="14.25" customHeight="1">
      <c r="A170" s="21"/>
      <c r="E170" s="22"/>
    </row>
    <row r="171" spans="1:5" ht="14.25" customHeight="1">
      <c r="A171" s="21"/>
      <c r="E171" s="22"/>
    </row>
    <row r="172" spans="1:5" ht="14.25" customHeight="1">
      <c r="A172" s="21"/>
      <c r="E172" s="22"/>
    </row>
    <row r="173" spans="1:5" ht="14.25" customHeight="1">
      <c r="A173" s="21"/>
      <c r="E173" s="22"/>
    </row>
    <row r="174" spans="1:5" ht="14.25" customHeight="1">
      <c r="A174" s="21"/>
      <c r="E174" s="22"/>
    </row>
    <row r="175" spans="1:5" ht="14.25" customHeight="1">
      <c r="A175" s="21"/>
      <c r="E175" s="22"/>
    </row>
    <row r="176" spans="1:5" ht="14.25" customHeight="1">
      <c r="A176" s="21"/>
      <c r="E176" s="22"/>
    </row>
    <row r="177" spans="1:5" ht="14.25" customHeight="1">
      <c r="A177" s="21"/>
      <c r="E177" s="22"/>
    </row>
    <row r="178" spans="1:5" ht="14.25" customHeight="1">
      <c r="A178" s="21"/>
      <c r="E178" s="22"/>
    </row>
    <row r="179" spans="1:5" ht="14.25" customHeight="1">
      <c r="A179" s="21"/>
      <c r="E179" s="22"/>
    </row>
    <row r="180" spans="1:5" ht="14.25" customHeight="1">
      <c r="A180" s="21"/>
      <c r="E180" s="22"/>
    </row>
    <row r="181" spans="1:5" ht="14.25" customHeight="1">
      <c r="A181" s="21"/>
      <c r="E181" s="22"/>
    </row>
    <row r="182" spans="1:5" ht="14.25" customHeight="1">
      <c r="A182" s="21"/>
      <c r="E182" s="22"/>
    </row>
    <row r="183" spans="1:5" ht="14.25" customHeight="1">
      <c r="A183" s="21"/>
      <c r="E183" s="22"/>
    </row>
    <row r="184" spans="1:5" ht="14.25" customHeight="1">
      <c r="A184" s="21"/>
      <c r="E184" s="22"/>
    </row>
    <row r="185" spans="1:5" ht="14.25" customHeight="1">
      <c r="A185" s="21"/>
      <c r="E185" s="22"/>
    </row>
    <row r="186" spans="1:5" ht="14.25" customHeight="1">
      <c r="A186" s="21"/>
      <c r="E186" s="22"/>
    </row>
    <row r="187" spans="1:5" ht="14.25" customHeight="1">
      <c r="A187" s="21"/>
      <c r="E187" s="22"/>
    </row>
    <row r="188" spans="1:5" ht="14.25" customHeight="1">
      <c r="A188" s="21"/>
      <c r="E188" s="22"/>
    </row>
    <row r="189" spans="1:5" ht="14.25" customHeight="1">
      <c r="A189" s="21"/>
      <c r="E189" s="22"/>
    </row>
    <row r="190" spans="1:5" ht="14.25" customHeight="1">
      <c r="A190" s="21"/>
      <c r="E190" s="22"/>
    </row>
    <row r="191" spans="1:5" ht="14.25" customHeight="1">
      <c r="A191" s="21"/>
      <c r="E191" s="22"/>
    </row>
    <row r="192" spans="1:5" ht="14.25" customHeight="1">
      <c r="A192" s="21"/>
      <c r="E192" s="22"/>
    </row>
    <row r="193" spans="1:5" ht="14.25" customHeight="1">
      <c r="A193" s="21"/>
      <c r="E193" s="22"/>
    </row>
    <row r="194" spans="1:5" ht="14.25" customHeight="1">
      <c r="A194" s="21"/>
      <c r="E194" s="22"/>
    </row>
    <row r="195" spans="1:5" ht="14.25" customHeight="1">
      <c r="A195" s="21"/>
      <c r="E195" s="22"/>
    </row>
    <row r="196" spans="1:5" ht="14.25" customHeight="1">
      <c r="A196" s="21"/>
      <c r="E196" s="22"/>
    </row>
    <row r="197" spans="1:5" ht="14.25" customHeight="1">
      <c r="A197" s="21"/>
      <c r="E197" s="22"/>
    </row>
    <row r="198" spans="1:5" ht="14.25" customHeight="1">
      <c r="A198" s="21"/>
      <c r="E198" s="22"/>
    </row>
    <row r="199" spans="1:5" ht="14.25" customHeight="1">
      <c r="A199" s="21"/>
      <c r="E199" s="22"/>
    </row>
    <row r="200" spans="1:5" ht="14.25" customHeight="1">
      <c r="A200" s="21"/>
      <c r="E200" s="22"/>
    </row>
    <row r="201" spans="1:5" ht="14.25" customHeight="1">
      <c r="A201" s="21"/>
      <c r="E201" s="22"/>
    </row>
    <row r="202" spans="1:5" ht="14.25" customHeight="1">
      <c r="A202" s="21"/>
      <c r="E202" s="22"/>
    </row>
    <row r="203" spans="1:5" ht="14.25" customHeight="1">
      <c r="A203" s="21"/>
      <c r="E203" s="22"/>
    </row>
    <row r="204" spans="1:5" ht="14.25" customHeight="1">
      <c r="A204" s="21"/>
      <c r="E204" s="22"/>
    </row>
    <row r="205" spans="1:5" ht="14.25" customHeight="1">
      <c r="A205" s="21"/>
      <c r="E205" s="22"/>
    </row>
    <row r="206" spans="1:5" ht="14.25" customHeight="1">
      <c r="A206" s="21"/>
      <c r="E206" s="22"/>
    </row>
    <row r="207" spans="1:5" ht="14.25" customHeight="1">
      <c r="A207" s="21"/>
      <c r="E207" s="22"/>
    </row>
    <row r="208" spans="1:5" ht="14.25" customHeight="1">
      <c r="A208" s="21"/>
      <c r="E208" s="22"/>
    </row>
    <row r="209" spans="1:5" ht="14.25" customHeight="1">
      <c r="A209" s="21"/>
      <c r="E209" s="22"/>
    </row>
    <row r="210" spans="1:5" ht="14.25" customHeight="1">
      <c r="A210" s="21"/>
      <c r="E210" s="22"/>
    </row>
    <row r="211" spans="1:5" ht="14.25" customHeight="1">
      <c r="A211" s="21"/>
      <c r="E211" s="22"/>
    </row>
    <row r="212" spans="1:5" ht="14.25" customHeight="1">
      <c r="A212" s="21"/>
      <c r="E212" s="22"/>
    </row>
    <row r="213" spans="1:5" ht="14.25" customHeight="1">
      <c r="A213" s="21"/>
      <c r="E213" s="22"/>
    </row>
    <row r="214" spans="1:5" ht="14.25" customHeight="1">
      <c r="A214" s="21"/>
      <c r="E214" s="22"/>
    </row>
    <row r="215" spans="1:5" ht="14.25" customHeight="1">
      <c r="A215" s="21"/>
      <c r="E215" s="22"/>
    </row>
    <row r="216" spans="1:5" ht="14.25" customHeight="1">
      <c r="A216" s="21"/>
      <c r="E216" s="22"/>
    </row>
    <row r="217" spans="1:5" ht="14.25" customHeight="1">
      <c r="A217" s="21"/>
      <c r="E217" s="22"/>
    </row>
    <row r="218" spans="1:5" ht="14.25" customHeight="1">
      <c r="A218" s="21"/>
      <c r="E218" s="22"/>
    </row>
    <row r="219" spans="1:5" ht="14.25" customHeight="1">
      <c r="A219" s="21"/>
      <c r="E219" s="22"/>
    </row>
    <row r="220" spans="1:5" ht="14.25" customHeight="1">
      <c r="A220" s="21"/>
      <c r="E220" s="22"/>
    </row>
    <row r="221" spans="1:5" ht="14.25" customHeight="1">
      <c r="A221" s="21"/>
      <c r="E221" s="22"/>
    </row>
    <row r="222" spans="1:5" ht="14.25" customHeight="1">
      <c r="A222" s="21"/>
      <c r="E222" s="22"/>
    </row>
    <row r="223" spans="1:5" ht="14.25" customHeight="1">
      <c r="A223" s="21"/>
      <c r="E223" s="22"/>
    </row>
    <row r="224" spans="1:5" ht="14.25" customHeight="1">
      <c r="A224" s="21"/>
      <c r="E224" s="22"/>
    </row>
    <row r="225" spans="1:5" ht="14.25" customHeight="1">
      <c r="A225" s="21"/>
      <c r="E225" s="22"/>
    </row>
    <row r="226" spans="1:5" ht="14.25" customHeight="1">
      <c r="A226" s="21"/>
      <c r="E226" s="22"/>
    </row>
    <row r="227" spans="1:5" ht="14.25" customHeight="1">
      <c r="A227" s="21"/>
      <c r="E227" s="22"/>
    </row>
    <row r="228" spans="1:5" ht="14.25" customHeight="1">
      <c r="A228" s="21"/>
      <c r="E228" s="22"/>
    </row>
    <row r="229" spans="1:5" ht="14.25" customHeight="1">
      <c r="A229" s="21"/>
      <c r="E229" s="22"/>
    </row>
    <row r="230" spans="1:5" ht="14.25" customHeight="1">
      <c r="A230" s="21"/>
      <c r="E230" s="22"/>
    </row>
    <row r="231" spans="1:5" ht="14.25" customHeight="1">
      <c r="A231" s="21"/>
      <c r="E231" s="22"/>
    </row>
    <row r="232" spans="1:5" ht="14.25" customHeight="1">
      <c r="A232" s="21"/>
      <c r="E232" s="22"/>
    </row>
    <row r="233" spans="1:5" ht="14.25" customHeight="1">
      <c r="A233" s="21"/>
      <c r="E233" s="22"/>
    </row>
    <row r="234" spans="1:5" ht="14.25" customHeight="1">
      <c r="A234" s="21"/>
      <c r="E234" s="22"/>
    </row>
    <row r="235" spans="1:5" ht="14.25" customHeight="1">
      <c r="A235" s="21"/>
      <c r="E235" s="22"/>
    </row>
    <row r="236" spans="1:5" ht="14.25" customHeight="1">
      <c r="A236" s="21"/>
      <c r="E236" s="22"/>
    </row>
    <row r="237" spans="1:5" ht="14.25" customHeight="1">
      <c r="A237" s="21"/>
      <c r="E237" s="22"/>
    </row>
    <row r="238" spans="1:5" ht="14.25" customHeight="1">
      <c r="A238" s="21"/>
      <c r="E238" s="22"/>
    </row>
    <row r="239" spans="1:5" ht="14.25" customHeight="1">
      <c r="A239" s="21"/>
      <c r="E239" s="22"/>
    </row>
    <row r="240" spans="1:5" ht="14.25" customHeight="1">
      <c r="A240" s="21"/>
      <c r="E240" s="22"/>
    </row>
    <row r="241" spans="1:5" ht="14.25" customHeight="1">
      <c r="A241" s="21"/>
      <c r="E241" s="22"/>
    </row>
    <row r="242" spans="1:5" ht="14.25" customHeight="1">
      <c r="A242" s="21"/>
      <c r="E242" s="22"/>
    </row>
    <row r="243" spans="1:5" ht="14.25" customHeight="1">
      <c r="A243" s="21"/>
      <c r="E243" s="22"/>
    </row>
    <row r="244" spans="1:5" ht="14.25" customHeight="1">
      <c r="A244" s="21"/>
      <c r="E244" s="22"/>
    </row>
    <row r="245" spans="1:5" ht="14.25" customHeight="1">
      <c r="A245" s="21"/>
      <c r="E245" s="22"/>
    </row>
    <row r="246" spans="1:5" ht="14.25" customHeight="1">
      <c r="A246" s="21"/>
      <c r="E246" s="22"/>
    </row>
    <row r="247" spans="1:5" ht="14.25" customHeight="1">
      <c r="A247" s="21"/>
      <c r="E247" s="22"/>
    </row>
    <row r="248" spans="1:5" ht="14.25" customHeight="1">
      <c r="A248" s="21"/>
      <c r="E248" s="22"/>
    </row>
    <row r="249" spans="1:5" ht="14.25" customHeight="1">
      <c r="A249" s="21"/>
      <c r="E249" s="22"/>
    </row>
    <row r="250" spans="1:5" ht="14.25" customHeight="1">
      <c r="A250" s="21"/>
      <c r="E250" s="22"/>
    </row>
    <row r="251" spans="1:5" ht="14.25" customHeight="1">
      <c r="A251" s="21"/>
      <c r="E251" s="22"/>
    </row>
    <row r="252" spans="1:5" ht="14.25" customHeight="1">
      <c r="A252" s="21"/>
      <c r="E252" s="22"/>
    </row>
    <row r="253" spans="1:5" ht="14.25" customHeight="1">
      <c r="A253" s="21"/>
      <c r="E253" s="22"/>
    </row>
    <row r="254" spans="1:5" ht="14.25" customHeight="1">
      <c r="A254" s="21"/>
      <c r="E254" s="22"/>
    </row>
    <row r="255" spans="1:5" ht="14.25" customHeight="1">
      <c r="A255" s="21"/>
      <c r="E255" s="22"/>
    </row>
    <row r="256" spans="1:5" ht="14.25" customHeight="1">
      <c r="A256" s="21"/>
      <c r="E256" s="22"/>
    </row>
    <row r="257" spans="1:5" ht="14.25" customHeight="1">
      <c r="A257" s="21"/>
      <c r="E257" s="22"/>
    </row>
    <row r="258" spans="1:5" ht="14.25" customHeight="1">
      <c r="A258" s="21"/>
      <c r="E258" s="22"/>
    </row>
    <row r="259" spans="1:5" ht="14.25" customHeight="1">
      <c r="A259" s="21"/>
      <c r="E259" s="22"/>
    </row>
    <row r="260" spans="1:5" ht="14.25" customHeight="1">
      <c r="A260" s="21"/>
      <c r="E260" s="22"/>
    </row>
    <row r="261" spans="1:5" ht="14.25" customHeight="1">
      <c r="A261" s="21"/>
      <c r="E261" s="22"/>
    </row>
    <row r="262" spans="1:5" ht="14.25" customHeight="1">
      <c r="A262" s="21"/>
      <c r="E262" s="22"/>
    </row>
    <row r="263" spans="1:5" ht="14.25" customHeight="1">
      <c r="A263" s="21"/>
      <c r="E263" s="22"/>
    </row>
    <row r="264" spans="1:5" ht="14.25" customHeight="1">
      <c r="A264" s="21"/>
      <c r="E264" s="22"/>
    </row>
    <row r="265" spans="1:5" ht="14.25" customHeight="1">
      <c r="A265" s="21"/>
      <c r="E265" s="22"/>
    </row>
    <row r="266" spans="1:5" ht="14.25" customHeight="1">
      <c r="A266" s="21"/>
      <c r="E266" s="22"/>
    </row>
    <row r="267" spans="1:5" ht="14.25" customHeight="1">
      <c r="A267" s="21"/>
      <c r="E267" s="22"/>
    </row>
    <row r="268" spans="1:5" ht="14.25" customHeight="1">
      <c r="A268" s="21"/>
      <c r="E268" s="22"/>
    </row>
    <row r="269" spans="1:5" ht="14.25" customHeight="1">
      <c r="A269" s="21"/>
      <c r="E269" s="22"/>
    </row>
    <row r="270" spans="1:5" ht="14.25" customHeight="1">
      <c r="A270" s="21"/>
      <c r="E270" s="22"/>
    </row>
    <row r="271" spans="1:5" ht="14.25" customHeight="1">
      <c r="A271" s="21"/>
      <c r="E271" s="22"/>
    </row>
    <row r="272" spans="1:5" ht="14.25" customHeight="1">
      <c r="A272" s="21"/>
      <c r="E272" s="22"/>
    </row>
    <row r="273" spans="1:5" ht="14.25" customHeight="1">
      <c r="A273" s="21"/>
      <c r="E273" s="22"/>
    </row>
    <row r="274" spans="1:5" ht="14.25" customHeight="1">
      <c r="A274" s="21"/>
      <c r="E274" s="22"/>
    </row>
    <row r="275" spans="1:5" ht="14.25" customHeight="1">
      <c r="A275" s="21"/>
      <c r="E275" s="22"/>
    </row>
    <row r="276" spans="1:5" ht="14.25" customHeight="1">
      <c r="A276" s="21"/>
      <c r="E276" s="22"/>
    </row>
    <row r="277" spans="1:5" ht="14.25" customHeight="1">
      <c r="A277" s="21"/>
      <c r="E277" s="22"/>
    </row>
    <row r="278" spans="1:5" ht="14.25" customHeight="1">
      <c r="A278" s="21"/>
      <c r="E278" s="22"/>
    </row>
    <row r="279" spans="1:5" ht="14.25" customHeight="1">
      <c r="A279" s="21"/>
      <c r="E279" s="22"/>
    </row>
    <row r="280" spans="1:5" ht="14.25" customHeight="1">
      <c r="A280" s="21"/>
      <c r="E280" s="22"/>
    </row>
    <row r="281" spans="1:5" ht="14.25" customHeight="1">
      <c r="A281" s="21"/>
      <c r="E281" s="22"/>
    </row>
    <row r="282" spans="1:5" ht="14.25" customHeight="1">
      <c r="A282" s="21"/>
      <c r="E282" s="22"/>
    </row>
    <row r="283" spans="1:5" ht="14.25" customHeight="1">
      <c r="A283" s="21"/>
      <c r="E283" s="22"/>
    </row>
    <row r="284" spans="1:5" ht="14.25" customHeight="1">
      <c r="A284" s="21"/>
      <c r="E284" s="22"/>
    </row>
    <row r="285" spans="1:5" ht="14.25" customHeight="1">
      <c r="A285" s="21"/>
      <c r="E285" s="22"/>
    </row>
    <row r="286" spans="1:5" ht="14.25" customHeight="1">
      <c r="A286" s="21"/>
      <c r="E286" s="22"/>
    </row>
    <row r="287" spans="1:5" ht="14.25" customHeight="1">
      <c r="A287" s="21"/>
      <c r="E287" s="22"/>
    </row>
    <row r="288" spans="1:5" ht="14.25" customHeight="1">
      <c r="A288" s="21"/>
      <c r="E288" s="22"/>
    </row>
    <row r="289" spans="1:5" ht="14.25" customHeight="1">
      <c r="A289" s="21"/>
      <c r="E289" s="22"/>
    </row>
    <row r="290" spans="1:5" ht="14.25" customHeight="1">
      <c r="A290" s="21"/>
      <c r="E290" s="22"/>
    </row>
    <row r="291" spans="1:5" ht="14.25" customHeight="1">
      <c r="A291" s="21"/>
      <c r="E291" s="22"/>
    </row>
    <row r="292" spans="1:5" ht="14.25" customHeight="1">
      <c r="A292" s="21"/>
      <c r="E292" s="22"/>
    </row>
    <row r="293" spans="1:5" ht="14.25" customHeight="1">
      <c r="A293" s="21"/>
      <c r="E293" s="22"/>
    </row>
    <row r="294" spans="1:5" ht="14.25" customHeight="1">
      <c r="A294" s="21"/>
      <c r="E294" s="22"/>
    </row>
    <row r="295" spans="1:5" ht="14.25" customHeight="1">
      <c r="A295" s="21"/>
      <c r="E295" s="22"/>
    </row>
    <row r="296" spans="1:5" ht="14.25" customHeight="1">
      <c r="A296" s="21"/>
      <c r="E296" s="22"/>
    </row>
    <row r="297" spans="1:5" ht="14.25" customHeight="1">
      <c r="A297" s="21"/>
      <c r="E297" s="22"/>
    </row>
    <row r="298" spans="1:5" ht="14.25" customHeight="1">
      <c r="A298" s="21"/>
      <c r="E298" s="22"/>
    </row>
    <row r="299" spans="1:5" ht="14.25" customHeight="1">
      <c r="A299" s="21"/>
      <c r="E299" s="22"/>
    </row>
    <row r="300" spans="1:5" ht="14.25" customHeight="1">
      <c r="A300" s="21"/>
      <c r="E300" s="22"/>
    </row>
    <row r="301" spans="1:5" ht="14.25" customHeight="1">
      <c r="A301" s="21"/>
      <c r="E301" s="22"/>
    </row>
    <row r="302" spans="1:5" ht="14.25" customHeight="1">
      <c r="A302" s="21"/>
      <c r="E302" s="22"/>
    </row>
    <row r="303" spans="1:5" ht="14.25" customHeight="1">
      <c r="A303" s="21"/>
      <c r="E303" s="22"/>
    </row>
    <row r="304" spans="1:5" ht="14.25" customHeight="1">
      <c r="A304" s="21"/>
      <c r="E304" s="22"/>
    </row>
    <row r="305" spans="1:5" ht="14.25" customHeight="1">
      <c r="A305" s="21"/>
      <c r="E305" s="22"/>
    </row>
    <row r="306" spans="1:5" ht="14.25" customHeight="1">
      <c r="A306" s="21"/>
      <c r="E306" s="22"/>
    </row>
    <row r="307" spans="1:5" ht="14.25" customHeight="1">
      <c r="A307" s="21"/>
      <c r="E307" s="22"/>
    </row>
    <row r="308" spans="1:5" ht="14.25" customHeight="1">
      <c r="A308" s="21"/>
      <c r="E308" s="22"/>
    </row>
    <row r="309" spans="1:5" ht="14.25" customHeight="1">
      <c r="A309" s="21"/>
      <c r="E309" s="22"/>
    </row>
    <row r="310" spans="1:5" ht="14.25" customHeight="1">
      <c r="A310" s="21"/>
      <c r="E310" s="22"/>
    </row>
    <row r="311" spans="1:5" ht="14.25" customHeight="1">
      <c r="A311" s="21"/>
      <c r="E311" s="22"/>
    </row>
    <row r="312" spans="1:5" ht="14.25" customHeight="1">
      <c r="A312" s="21"/>
      <c r="E312" s="22"/>
    </row>
    <row r="313" spans="1:5" ht="14.25" customHeight="1">
      <c r="A313" s="21"/>
      <c r="E313" s="22"/>
    </row>
    <row r="314" spans="1:5" ht="14.25" customHeight="1">
      <c r="A314" s="21"/>
      <c r="E314" s="22"/>
    </row>
    <row r="315" spans="1:5" ht="14.25" customHeight="1">
      <c r="A315" s="21"/>
      <c r="E315" s="22"/>
    </row>
    <row r="316" spans="1:5" ht="14.25" customHeight="1">
      <c r="A316" s="21"/>
      <c r="E316" s="22"/>
    </row>
    <row r="317" spans="1:5" ht="14.25" customHeight="1">
      <c r="A317" s="21"/>
      <c r="E317" s="22"/>
    </row>
    <row r="318" spans="1:5" ht="14.25" customHeight="1">
      <c r="A318" s="21"/>
      <c r="E318" s="22"/>
    </row>
    <row r="319" spans="1:5" ht="14.25" customHeight="1">
      <c r="A319" s="21"/>
      <c r="E319" s="22"/>
    </row>
    <row r="320" spans="1:5" ht="14.25" customHeight="1">
      <c r="A320" s="21"/>
      <c r="E320" s="22"/>
    </row>
    <row r="321" spans="1:5" ht="14.25" customHeight="1">
      <c r="A321" s="21"/>
      <c r="E321" s="22"/>
    </row>
    <row r="322" spans="1:5" ht="14.25" customHeight="1">
      <c r="A322" s="21"/>
      <c r="E322" s="22"/>
    </row>
    <row r="323" spans="1:5" ht="14.25" customHeight="1">
      <c r="A323" s="21"/>
      <c r="E323" s="22"/>
    </row>
    <row r="324" spans="1:5" ht="14.25" customHeight="1">
      <c r="A324" s="21"/>
      <c r="E324" s="22"/>
    </row>
    <row r="325" spans="1:5" ht="14.25" customHeight="1">
      <c r="A325" s="21"/>
      <c r="E325" s="22"/>
    </row>
    <row r="326" spans="1:5" ht="14.25" customHeight="1">
      <c r="A326" s="21"/>
      <c r="E326" s="22"/>
    </row>
    <row r="327" spans="1:5" ht="14.25" customHeight="1">
      <c r="A327" s="21"/>
      <c r="E327" s="22"/>
    </row>
    <row r="328" spans="1:5" ht="14.25" customHeight="1">
      <c r="A328" s="21"/>
      <c r="E328" s="22"/>
    </row>
    <row r="329" spans="1:5" ht="14.25" customHeight="1">
      <c r="A329" s="21"/>
      <c r="E329" s="22"/>
    </row>
    <row r="330" spans="1:5" ht="14.25" customHeight="1">
      <c r="A330" s="21"/>
      <c r="E330" s="22"/>
    </row>
    <row r="331" spans="1:5" ht="14.25" customHeight="1">
      <c r="A331" s="21"/>
      <c r="E331" s="22"/>
    </row>
    <row r="332" spans="1:5" ht="14.25" customHeight="1">
      <c r="A332" s="21"/>
      <c r="E332" s="22"/>
    </row>
    <row r="333" spans="1:5" ht="14.25" customHeight="1">
      <c r="A333" s="21"/>
      <c r="E333" s="22"/>
    </row>
    <row r="334" spans="1:5" ht="14.25" customHeight="1">
      <c r="A334" s="21"/>
      <c r="E334" s="22"/>
    </row>
    <row r="335" spans="1:5" ht="14.25" customHeight="1">
      <c r="A335" s="21"/>
      <c r="E335" s="22"/>
    </row>
    <row r="336" spans="1:5" ht="14.25" customHeight="1">
      <c r="A336" s="21"/>
      <c r="E336" s="22"/>
    </row>
    <row r="337" spans="1:5" ht="14.25" customHeight="1">
      <c r="A337" s="21"/>
      <c r="E337" s="22"/>
    </row>
    <row r="338" spans="1:5" ht="14.25" customHeight="1">
      <c r="A338" s="21"/>
      <c r="E338" s="22"/>
    </row>
    <row r="339" spans="1:5" ht="14.25" customHeight="1">
      <c r="A339" s="21"/>
      <c r="E339" s="22"/>
    </row>
    <row r="340" spans="1:5" ht="14.25" customHeight="1">
      <c r="A340" s="21"/>
      <c r="E340" s="22"/>
    </row>
    <row r="341" spans="1:5" ht="14.25" customHeight="1">
      <c r="A341" s="21"/>
      <c r="E341" s="22"/>
    </row>
    <row r="342" spans="1:5" ht="14.25" customHeight="1">
      <c r="A342" s="21"/>
      <c r="E342" s="22"/>
    </row>
    <row r="343" spans="1:5" ht="14.25" customHeight="1">
      <c r="A343" s="21"/>
      <c r="E343" s="22"/>
    </row>
    <row r="344" spans="1:5" ht="14.25" customHeight="1">
      <c r="A344" s="21"/>
      <c r="E344" s="22"/>
    </row>
    <row r="345" spans="1:5" ht="14.25" customHeight="1">
      <c r="A345" s="21"/>
      <c r="E345" s="22"/>
    </row>
    <row r="346" spans="1:5" ht="14.25" customHeight="1">
      <c r="A346" s="21"/>
      <c r="E346" s="22"/>
    </row>
    <row r="347" spans="1:5" ht="14.25" customHeight="1">
      <c r="A347" s="21"/>
      <c r="E347" s="22"/>
    </row>
    <row r="348" spans="1:5" ht="14.25" customHeight="1">
      <c r="A348" s="21"/>
      <c r="E348" s="22"/>
    </row>
    <row r="349" spans="1:5" ht="14.25" customHeight="1">
      <c r="A349" s="21"/>
      <c r="E349" s="22"/>
    </row>
    <row r="350" spans="1:5" ht="14.25" customHeight="1">
      <c r="A350" s="21"/>
      <c r="E350" s="22"/>
    </row>
    <row r="351" spans="1:5" ht="14.25" customHeight="1">
      <c r="A351" s="21"/>
      <c r="E351" s="22"/>
    </row>
    <row r="352" spans="1:5" ht="14.25" customHeight="1">
      <c r="A352" s="21"/>
      <c r="E352" s="22"/>
    </row>
    <row r="353" spans="1:5" ht="14.25" customHeight="1">
      <c r="A353" s="21"/>
      <c r="E353" s="22"/>
    </row>
    <row r="354" spans="1:5" ht="14.25" customHeight="1">
      <c r="A354" s="21"/>
      <c r="E354" s="22"/>
    </row>
    <row r="355" spans="1:5" ht="14.25" customHeight="1">
      <c r="A355" s="21"/>
      <c r="E355" s="22"/>
    </row>
    <row r="356" spans="1:5" ht="14.25" customHeight="1">
      <c r="A356" s="21"/>
      <c r="E356" s="22"/>
    </row>
    <row r="357" spans="1:5" ht="14.25" customHeight="1">
      <c r="A357" s="21"/>
      <c r="E357" s="22"/>
    </row>
    <row r="358" spans="1:5" ht="14.25" customHeight="1">
      <c r="A358" s="21"/>
      <c r="E358" s="22"/>
    </row>
    <row r="359" spans="1:5" ht="14.25" customHeight="1">
      <c r="A359" s="21"/>
      <c r="E359" s="22"/>
    </row>
    <row r="360" spans="1:5" ht="14.25" customHeight="1">
      <c r="A360" s="21"/>
      <c r="E360" s="22"/>
    </row>
    <row r="361" spans="1:5" ht="14.25" customHeight="1">
      <c r="A361" s="21"/>
      <c r="E361" s="22"/>
    </row>
    <row r="362" spans="1:5" ht="14.25" customHeight="1">
      <c r="A362" s="21"/>
      <c r="E362" s="22"/>
    </row>
    <row r="363" spans="1:5" ht="14.25" customHeight="1">
      <c r="A363" s="21"/>
      <c r="E363" s="22"/>
    </row>
    <row r="364" spans="1:5" ht="14.25" customHeight="1">
      <c r="A364" s="21"/>
      <c r="E364" s="22"/>
    </row>
    <row r="365" spans="1:5" ht="14.25" customHeight="1">
      <c r="A365" s="21"/>
      <c r="E365" s="22"/>
    </row>
    <row r="366" spans="1:5" ht="14.25" customHeight="1">
      <c r="A366" s="21"/>
      <c r="E366" s="22"/>
    </row>
    <row r="367" spans="1:5" ht="14.25" customHeight="1">
      <c r="A367" s="21"/>
      <c r="E367" s="22"/>
    </row>
    <row r="368" spans="1:5" ht="14.25" customHeight="1">
      <c r="A368" s="21"/>
      <c r="E368" s="22"/>
    </row>
    <row r="369" spans="1:5" ht="14.25" customHeight="1">
      <c r="A369" s="21"/>
      <c r="E369" s="22"/>
    </row>
    <row r="370" spans="1:5" ht="14.25" customHeight="1">
      <c r="A370" s="21"/>
      <c r="E370" s="22"/>
    </row>
    <row r="371" spans="1:5" ht="14.25" customHeight="1">
      <c r="A371" s="21"/>
      <c r="E371" s="22"/>
    </row>
    <row r="372" spans="1:5" ht="14.25" customHeight="1">
      <c r="A372" s="21"/>
      <c r="E372" s="22"/>
    </row>
    <row r="373" spans="1:5" ht="14.25" customHeight="1">
      <c r="A373" s="21"/>
      <c r="E373" s="22"/>
    </row>
    <row r="374" spans="1:5" ht="14.25" customHeight="1">
      <c r="A374" s="21"/>
      <c r="E374" s="22"/>
    </row>
    <row r="375" spans="1:5" ht="14.25" customHeight="1">
      <c r="A375" s="21"/>
      <c r="E375" s="22"/>
    </row>
    <row r="376" spans="1:5" ht="14.25" customHeight="1">
      <c r="A376" s="21"/>
      <c r="E376" s="22"/>
    </row>
    <row r="377" spans="1:5" ht="14.25" customHeight="1">
      <c r="A377" s="21"/>
      <c r="E377" s="22"/>
    </row>
    <row r="378" spans="1:5" ht="14.25" customHeight="1">
      <c r="A378" s="21"/>
      <c r="E378" s="22"/>
    </row>
    <row r="379" spans="1:5" ht="14.25" customHeight="1">
      <c r="A379" s="21"/>
      <c r="E379" s="22"/>
    </row>
    <row r="380" spans="1:5" ht="14.25" customHeight="1">
      <c r="A380" s="21"/>
      <c r="E380" s="22"/>
    </row>
    <row r="381" spans="1:5" ht="14.25" customHeight="1">
      <c r="A381" s="21"/>
      <c r="E381" s="22"/>
    </row>
    <row r="382" spans="1:5" ht="14.25" customHeight="1">
      <c r="A382" s="21"/>
      <c r="E382" s="22"/>
    </row>
    <row r="383" spans="1:5" ht="14.25" customHeight="1">
      <c r="A383" s="21"/>
      <c r="E383" s="22"/>
    </row>
    <row r="384" spans="1:5" ht="14.25" customHeight="1">
      <c r="A384" s="21"/>
      <c r="E384" s="22"/>
    </row>
    <row r="385" spans="1:5" ht="14.25" customHeight="1">
      <c r="A385" s="21"/>
      <c r="E385" s="22"/>
    </row>
    <row r="386" spans="1:5" ht="14.25" customHeight="1">
      <c r="A386" s="21"/>
      <c r="E386" s="22"/>
    </row>
    <row r="387" spans="1:5" ht="14.25" customHeight="1">
      <c r="A387" s="21"/>
      <c r="E387" s="22"/>
    </row>
    <row r="388" spans="1:5" ht="14.25" customHeight="1">
      <c r="A388" s="21"/>
      <c r="E388" s="22"/>
    </row>
    <row r="389" spans="1:5" ht="14.25" customHeight="1">
      <c r="A389" s="21"/>
      <c r="E389" s="22"/>
    </row>
    <row r="390" spans="1:5" ht="14.25" customHeight="1">
      <c r="A390" s="21"/>
      <c r="E390" s="22"/>
    </row>
    <row r="391" spans="1:5" ht="14.25" customHeight="1">
      <c r="A391" s="21"/>
      <c r="E391" s="22"/>
    </row>
    <row r="392" spans="1:5" ht="14.25" customHeight="1">
      <c r="A392" s="21"/>
      <c r="E392" s="22"/>
    </row>
    <row r="393" spans="1:5" ht="14.25" customHeight="1">
      <c r="A393" s="21"/>
      <c r="E393" s="22"/>
    </row>
    <row r="394" spans="1:5" ht="14.25" customHeight="1">
      <c r="A394" s="21"/>
      <c r="E394" s="22"/>
    </row>
    <row r="395" spans="1:5" ht="14.25" customHeight="1">
      <c r="A395" s="21"/>
      <c r="E395" s="22"/>
    </row>
    <row r="396" spans="1:5" ht="14.25" customHeight="1">
      <c r="A396" s="21"/>
      <c r="E396" s="22"/>
    </row>
    <row r="397" spans="1:5" ht="14.25" customHeight="1">
      <c r="A397" s="21"/>
      <c r="E397" s="22"/>
    </row>
    <row r="398" spans="1:5" ht="14.25" customHeight="1">
      <c r="A398" s="21"/>
      <c r="E398" s="22"/>
    </row>
    <row r="399" spans="1:5" ht="14.25" customHeight="1">
      <c r="A399" s="21"/>
      <c r="E399" s="22"/>
    </row>
    <row r="400" spans="1:5" ht="14.25" customHeight="1">
      <c r="A400" s="21"/>
      <c r="E400" s="22"/>
    </row>
    <row r="401" spans="1:5" ht="14.25" customHeight="1">
      <c r="A401" s="21"/>
      <c r="E401" s="22"/>
    </row>
    <row r="402" spans="1:5" ht="14.25" customHeight="1">
      <c r="A402" s="21"/>
      <c r="E402" s="22"/>
    </row>
    <row r="403" spans="1:5" ht="14.25" customHeight="1">
      <c r="A403" s="21"/>
      <c r="E403" s="22"/>
    </row>
    <row r="404" spans="1:5" ht="14.25" customHeight="1">
      <c r="A404" s="21"/>
      <c r="E404" s="22"/>
    </row>
    <row r="405" spans="1:5" ht="14.25" customHeight="1">
      <c r="A405" s="21"/>
      <c r="E405" s="22"/>
    </row>
    <row r="406" spans="1:5" ht="14.25" customHeight="1">
      <c r="A406" s="21"/>
      <c r="E406" s="22"/>
    </row>
    <row r="407" spans="1:5" ht="14.25" customHeight="1">
      <c r="A407" s="21"/>
      <c r="E407" s="22"/>
    </row>
    <row r="408" spans="1:5" ht="14.25" customHeight="1">
      <c r="A408" s="21"/>
      <c r="E408" s="22"/>
    </row>
    <row r="409" spans="1:5" ht="14.25" customHeight="1">
      <c r="A409" s="21"/>
      <c r="E409" s="22"/>
    </row>
    <row r="410" spans="1:5" ht="14.25" customHeight="1">
      <c r="A410" s="21"/>
      <c r="E410" s="22"/>
    </row>
    <row r="411" spans="1:5" ht="14.25" customHeight="1">
      <c r="A411" s="21"/>
      <c r="E411" s="22"/>
    </row>
    <row r="412" spans="1:5" ht="14.25" customHeight="1">
      <c r="A412" s="21"/>
      <c r="E412" s="22"/>
    </row>
    <row r="413" spans="1:5" ht="14.25" customHeight="1">
      <c r="A413" s="21"/>
      <c r="E413" s="22"/>
    </row>
    <row r="414" spans="1:5" ht="14.25" customHeight="1">
      <c r="A414" s="21"/>
      <c r="E414" s="22"/>
    </row>
    <row r="415" spans="1:5" ht="14.25" customHeight="1">
      <c r="A415" s="21"/>
      <c r="E415" s="22"/>
    </row>
    <row r="416" spans="1:5" ht="14.25" customHeight="1">
      <c r="A416" s="21"/>
      <c r="E416" s="22"/>
    </row>
    <row r="417" spans="1:5" ht="14.25" customHeight="1">
      <c r="A417" s="21"/>
      <c r="E417" s="22"/>
    </row>
    <row r="418" spans="1:5" ht="14.25" customHeight="1">
      <c r="A418" s="21"/>
      <c r="E418" s="22"/>
    </row>
    <row r="419" spans="1:5" ht="14.25" customHeight="1">
      <c r="A419" s="21"/>
      <c r="E419" s="22"/>
    </row>
    <row r="420" spans="1:5" ht="14.25" customHeight="1">
      <c r="A420" s="21"/>
      <c r="E420" s="22"/>
    </row>
    <row r="421" spans="1:5" ht="14.25" customHeight="1">
      <c r="A421" s="21"/>
      <c r="E421" s="22"/>
    </row>
    <row r="422" spans="1:5" ht="14.25" customHeight="1">
      <c r="A422" s="21"/>
      <c r="E422" s="22"/>
    </row>
    <row r="423" spans="1:5" ht="14.25" customHeight="1">
      <c r="A423" s="21"/>
      <c r="E423" s="22"/>
    </row>
    <row r="424" spans="1:5" ht="14.25" customHeight="1">
      <c r="A424" s="21"/>
      <c r="E424" s="22"/>
    </row>
    <row r="425" spans="1:5" ht="14.25" customHeight="1">
      <c r="A425" s="21"/>
      <c r="E425" s="22"/>
    </row>
    <row r="426" spans="1:5" ht="14.25" customHeight="1">
      <c r="A426" s="21"/>
      <c r="E426" s="22"/>
    </row>
    <row r="427" spans="1:5" ht="14.25" customHeight="1">
      <c r="A427" s="21"/>
      <c r="E427" s="22"/>
    </row>
    <row r="428" spans="1:5" ht="14.25" customHeight="1">
      <c r="A428" s="21"/>
      <c r="E428" s="22"/>
    </row>
    <row r="429" spans="1:5" ht="14.25" customHeight="1">
      <c r="A429" s="21"/>
      <c r="E429" s="22"/>
    </row>
    <row r="430" spans="1:5" ht="14.25" customHeight="1">
      <c r="A430" s="21"/>
      <c r="E430" s="22"/>
    </row>
    <row r="431" spans="1:5" ht="14.25" customHeight="1">
      <c r="A431" s="21"/>
      <c r="E431" s="22"/>
    </row>
    <row r="432" spans="1:5" ht="14.25" customHeight="1">
      <c r="A432" s="21"/>
      <c r="E432" s="22"/>
    </row>
    <row r="433" spans="1:5" ht="14.25" customHeight="1">
      <c r="A433" s="21"/>
      <c r="E433" s="22"/>
    </row>
    <row r="434" spans="1:5" ht="14.25" customHeight="1">
      <c r="A434" s="21"/>
      <c r="E434" s="22"/>
    </row>
    <row r="435" spans="1:5" ht="14.25" customHeight="1">
      <c r="A435" s="21"/>
      <c r="E435" s="22"/>
    </row>
    <row r="436" spans="1:5" ht="14.25" customHeight="1">
      <c r="A436" s="21"/>
      <c r="E436" s="22"/>
    </row>
    <row r="437" spans="1:5" ht="14.25" customHeight="1">
      <c r="A437" s="21"/>
      <c r="E437" s="22"/>
    </row>
    <row r="438" spans="1:5" ht="14.25" customHeight="1">
      <c r="A438" s="21"/>
      <c r="E438" s="22"/>
    </row>
    <row r="439" spans="1:5" ht="14.25" customHeight="1">
      <c r="A439" s="21"/>
      <c r="E439" s="22"/>
    </row>
    <row r="440" spans="1:5" ht="14.25" customHeight="1">
      <c r="A440" s="21"/>
      <c r="E440" s="22"/>
    </row>
    <row r="441" spans="1:5" ht="14.25" customHeight="1">
      <c r="A441" s="21"/>
      <c r="E441" s="22"/>
    </row>
    <row r="442" spans="1:5" ht="14.25" customHeight="1">
      <c r="A442" s="21"/>
      <c r="E442" s="22"/>
    </row>
    <row r="443" spans="1:5" ht="14.25" customHeight="1">
      <c r="A443" s="21"/>
      <c r="E443" s="22"/>
    </row>
    <row r="444" spans="1:5" ht="14.25" customHeight="1">
      <c r="A444" s="21"/>
      <c r="E444" s="22"/>
    </row>
    <row r="445" spans="1:5" ht="14.25" customHeight="1">
      <c r="A445" s="21"/>
      <c r="E445" s="22"/>
    </row>
    <row r="446" spans="1:5" ht="14.25" customHeight="1">
      <c r="A446" s="21"/>
      <c r="E446" s="22"/>
    </row>
    <row r="447" spans="1:5" ht="14.25" customHeight="1">
      <c r="A447" s="21"/>
      <c r="E447" s="22"/>
    </row>
    <row r="448" spans="1:5" ht="14.25" customHeight="1">
      <c r="A448" s="21"/>
      <c r="E448" s="22"/>
    </row>
    <row r="449" spans="1:5" ht="14.25" customHeight="1">
      <c r="A449" s="21"/>
      <c r="E449" s="22"/>
    </row>
    <row r="450" spans="1:5" ht="14.25" customHeight="1">
      <c r="A450" s="21"/>
      <c r="E450" s="22"/>
    </row>
    <row r="451" spans="1:5" ht="14.25" customHeight="1">
      <c r="A451" s="21"/>
      <c r="E451" s="22"/>
    </row>
    <row r="452" spans="1:5" ht="14.25" customHeight="1">
      <c r="A452" s="21"/>
      <c r="E452" s="22"/>
    </row>
    <row r="453" spans="1:5" ht="14.25" customHeight="1">
      <c r="A453" s="21"/>
      <c r="E453" s="22"/>
    </row>
    <row r="454" spans="1:5" ht="14.25" customHeight="1">
      <c r="A454" s="21"/>
      <c r="E454" s="22"/>
    </row>
    <row r="455" spans="1:5" ht="14.25" customHeight="1">
      <c r="A455" s="21"/>
      <c r="E455" s="22"/>
    </row>
    <row r="456" spans="1:5" ht="14.25" customHeight="1">
      <c r="A456" s="21"/>
      <c r="E456" s="22"/>
    </row>
    <row r="457" spans="1:5" ht="14.25" customHeight="1">
      <c r="A457" s="21"/>
      <c r="E457" s="22"/>
    </row>
    <row r="458" spans="1:5" ht="14.25" customHeight="1">
      <c r="A458" s="21"/>
      <c r="E458" s="22"/>
    </row>
    <row r="459" spans="1:5" ht="14.25" customHeight="1">
      <c r="A459" s="21"/>
      <c r="E459" s="22"/>
    </row>
    <row r="460" spans="1:5" ht="14.25" customHeight="1">
      <c r="A460" s="21"/>
      <c r="E460" s="22"/>
    </row>
    <row r="461" spans="1:5" ht="14.25" customHeight="1">
      <c r="A461" s="21"/>
      <c r="E461" s="22"/>
    </row>
    <row r="462" spans="1:5" ht="14.25" customHeight="1">
      <c r="A462" s="21"/>
      <c r="E462" s="22"/>
    </row>
    <row r="463" spans="1:5" ht="14.25" customHeight="1">
      <c r="A463" s="21"/>
      <c r="E463" s="22"/>
    </row>
    <row r="464" spans="1:5" ht="14.25" customHeight="1">
      <c r="A464" s="21"/>
      <c r="E464" s="22"/>
    </row>
    <row r="465" spans="1:5" ht="14.25" customHeight="1">
      <c r="A465" s="21"/>
      <c r="E465" s="22"/>
    </row>
    <row r="466" spans="1:5" ht="14.25" customHeight="1">
      <c r="A466" s="21"/>
      <c r="E466" s="22"/>
    </row>
    <row r="467" spans="1:5" ht="14.25" customHeight="1">
      <c r="A467" s="21"/>
      <c r="E467" s="22"/>
    </row>
    <row r="468" spans="1:5" ht="14.25" customHeight="1">
      <c r="A468" s="21"/>
      <c r="E468" s="22"/>
    </row>
    <row r="469" spans="1:5" ht="14.25" customHeight="1">
      <c r="A469" s="21"/>
      <c r="E469" s="22"/>
    </row>
    <row r="470" spans="1:5" ht="14.25" customHeight="1">
      <c r="A470" s="21"/>
      <c r="E470" s="22"/>
    </row>
    <row r="471" spans="1:5" ht="14.25" customHeight="1">
      <c r="A471" s="21"/>
      <c r="E471" s="22"/>
    </row>
    <row r="472" spans="1:5" ht="14.25" customHeight="1">
      <c r="A472" s="21"/>
      <c r="E472" s="22"/>
    </row>
    <row r="473" spans="1:5" ht="14.25" customHeight="1">
      <c r="A473" s="21"/>
      <c r="E473" s="22"/>
    </row>
    <row r="474" spans="1:5" ht="14.25" customHeight="1">
      <c r="A474" s="21"/>
      <c r="E474" s="22"/>
    </row>
    <row r="475" spans="1:5" ht="14.25" customHeight="1">
      <c r="A475" s="21"/>
      <c r="E475" s="22"/>
    </row>
    <row r="476" spans="1:5" ht="14.25" customHeight="1">
      <c r="A476" s="21"/>
      <c r="E476" s="22"/>
    </row>
    <row r="477" spans="1:5" ht="14.25" customHeight="1">
      <c r="A477" s="21"/>
      <c r="E477" s="22"/>
    </row>
    <row r="478" spans="1:5" ht="14.25" customHeight="1">
      <c r="A478" s="21"/>
      <c r="E478" s="22"/>
    </row>
    <row r="479" spans="1:5" ht="14.25" customHeight="1">
      <c r="A479" s="21"/>
      <c r="E479" s="22"/>
    </row>
    <row r="480" spans="1:5" ht="14.25" customHeight="1">
      <c r="A480" s="21"/>
      <c r="E480" s="22"/>
    </row>
    <row r="481" spans="1:5" ht="14.25" customHeight="1">
      <c r="A481" s="21"/>
      <c r="E481" s="22"/>
    </row>
    <row r="482" spans="1:5" ht="14.25" customHeight="1">
      <c r="A482" s="21"/>
      <c r="E482" s="22"/>
    </row>
    <row r="483" spans="1:5" ht="14.25" customHeight="1">
      <c r="A483" s="21"/>
      <c r="E483" s="22"/>
    </row>
    <row r="484" spans="1:5" ht="14.25" customHeight="1">
      <c r="A484" s="21"/>
      <c r="E484" s="22"/>
    </row>
    <row r="485" spans="1:5" ht="14.25" customHeight="1">
      <c r="A485" s="21"/>
      <c r="E485" s="22"/>
    </row>
    <row r="486" spans="1:5" ht="14.25" customHeight="1">
      <c r="A486" s="21"/>
      <c r="E486" s="22"/>
    </row>
    <row r="487" spans="1:5" ht="14.25" customHeight="1">
      <c r="A487" s="21"/>
      <c r="E487" s="22"/>
    </row>
    <row r="488" spans="1:5" ht="14.25" customHeight="1">
      <c r="A488" s="21"/>
      <c r="E488" s="22"/>
    </row>
    <row r="489" spans="1:5" ht="14.25" customHeight="1">
      <c r="A489" s="21"/>
      <c r="E489" s="22"/>
    </row>
    <row r="490" spans="1:5" ht="14.25" customHeight="1">
      <c r="A490" s="21"/>
      <c r="E490" s="22"/>
    </row>
    <row r="491" spans="1:5" ht="14.25" customHeight="1">
      <c r="A491" s="21"/>
      <c r="E491" s="22"/>
    </row>
    <row r="492" spans="1:5" ht="14.25" customHeight="1">
      <c r="A492" s="21"/>
      <c r="E492" s="22"/>
    </row>
    <row r="493" spans="1:5" ht="14.25" customHeight="1">
      <c r="A493" s="21"/>
      <c r="E493" s="22"/>
    </row>
    <row r="494" spans="1:5" ht="14.25" customHeight="1">
      <c r="A494" s="21"/>
      <c r="E494" s="22"/>
    </row>
    <row r="495" spans="1:5" ht="14.25" customHeight="1">
      <c r="A495" s="21"/>
      <c r="E495" s="22"/>
    </row>
    <row r="496" spans="1:5" ht="14.25" customHeight="1">
      <c r="A496" s="21"/>
      <c r="E496" s="22"/>
    </row>
    <row r="497" spans="1:5" ht="14.25" customHeight="1">
      <c r="A497" s="21"/>
      <c r="E497" s="22"/>
    </row>
    <row r="498" spans="1:5" ht="14.25" customHeight="1">
      <c r="A498" s="21"/>
      <c r="E498" s="22"/>
    </row>
    <row r="499" spans="1:5" ht="14.25" customHeight="1">
      <c r="A499" s="21"/>
      <c r="E499" s="22"/>
    </row>
    <row r="500" spans="1:5" ht="14.25" customHeight="1">
      <c r="A500" s="21"/>
      <c r="E500" s="22"/>
    </row>
    <row r="501" spans="1:5" ht="14.25" customHeight="1">
      <c r="A501" s="21"/>
      <c r="E501" s="22"/>
    </row>
    <row r="502" spans="1:5" ht="14.25" customHeight="1">
      <c r="A502" s="21"/>
      <c r="E502" s="22"/>
    </row>
    <row r="503" spans="1:5" ht="14.25" customHeight="1">
      <c r="A503" s="21"/>
      <c r="E503" s="22"/>
    </row>
    <row r="504" spans="1:5" ht="14.25" customHeight="1">
      <c r="A504" s="21"/>
      <c r="E504" s="22"/>
    </row>
    <row r="505" spans="1:5" ht="14.25" customHeight="1">
      <c r="A505" s="21"/>
      <c r="E505" s="22"/>
    </row>
    <row r="506" spans="1:5" ht="14.25" customHeight="1">
      <c r="A506" s="21"/>
      <c r="E506" s="22"/>
    </row>
    <row r="507" spans="1:5" ht="14.25" customHeight="1">
      <c r="A507" s="21"/>
      <c r="E507" s="22"/>
    </row>
    <row r="508" spans="1:5" ht="14.25" customHeight="1">
      <c r="A508" s="21"/>
      <c r="E508" s="22"/>
    </row>
    <row r="509" spans="1:5" ht="14.25" customHeight="1">
      <c r="A509" s="21"/>
      <c r="E509" s="22"/>
    </row>
    <row r="510" spans="1:5" ht="14.25" customHeight="1">
      <c r="A510" s="21"/>
      <c r="E510" s="22"/>
    </row>
    <row r="511" spans="1:5" ht="14.25" customHeight="1">
      <c r="A511" s="21"/>
      <c r="E511" s="22"/>
    </row>
    <row r="512" spans="1:5" ht="14.25" customHeight="1">
      <c r="A512" s="21"/>
      <c r="E512" s="22"/>
    </row>
    <row r="513" spans="1:5" ht="14.25" customHeight="1">
      <c r="A513" s="21"/>
      <c r="E513" s="22"/>
    </row>
    <row r="514" spans="1:5" ht="14.25" customHeight="1">
      <c r="A514" s="21"/>
      <c r="E514" s="22"/>
    </row>
    <row r="515" spans="1:5" ht="14.25" customHeight="1">
      <c r="A515" s="21"/>
      <c r="E515" s="22"/>
    </row>
    <row r="516" spans="1:5" ht="14.25" customHeight="1">
      <c r="A516" s="21"/>
      <c r="E516" s="22"/>
    </row>
    <row r="517" spans="1:5" ht="14.25" customHeight="1">
      <c r="A517" s="21"/>
      <c r="E517" s="22"/>
    </row>
    <row r="518" spans="1:5" ht="14.25" customHeight="1">
      <c r="A518" s="21"/>
      <c r="E518" s="22"/>
    </row>
    <row r="519" spans="1:5" ht="14.25" customHeight="1">
      <c r="A519" s="21"/>
      <c r="E519" s="22"/>
    </row>
    <row r="520" spans="1:5" ht="14.25" customHeight="1">
      <c r="A520" s="21"/>
      <c r="E520" s="22"/>
    </row>
    <row r="521" spans="1:5" ht="14.25" customHeight="1">
      <c r="A521" s="21"/>
      <c r="E521" s="22"/>
    </row>
    <row r="522" spans="1:5" ht="14.25" customHeight="1">
      <c r="A522" s="21"/>
      <c r="E522" s="22"/>
    </row>
    <row r="523" spans="1:5" ht="14.25" customHeight="1">
      <c r="A523" s="21"/>
      <c r="E523" s="22"/>
    </row>
    <row r="524" spans="1:5" ht="14.25" customHeight="1">
      <c r="A524" s="21"/>
      <c r="E524" s="22"/>
    </row>
    <row r="525" spans="1:5" ht="14.25" customHeight="1">
      <c r="A525" s="21"/>
      <c r="E525" s="22"/>
    </row>
    <row r="526" spans="1:5" ht="14.25" customHeight="1">
      <c r="A526" s="21"/>
      <c r="E526" s="22"/>
    </row>
    <row r="527" spans="1:5" ht="14.25" customHeight="1">
      <c r="A527" s="21"/>
      <c r="E527" s="22"/>
    </row>
    <row r="528" spans="1:5" ht="14.25" customHeight="1">
      <c r="A528" s="21"/>
      <c r="E528" s="22"/>
    </row>
    <row r="529" spans="1:5" ht="14.25" customHeight="1">
      <c r="A529" s="21"/>
      <c r="E529" s="22"/>
    </row>
    <row r="530" spans="1:5" ht="14.25" customHeight="1">
      <c r="A530" s="21"/>
      <c r="E530" s="22"/>
    </row>
    <row r="531" spans="1:5" ht="14.25" customHeight="1">
      <c r="A531" s="21"/>
      <c r="E531" s="22"/>
    </row>
    <row r="532" spans="1:5" ht="14.25" customHeight="1">
      <c r="A532" s="21"/>
      <c r="E532" s="22"/>
    </row>
    <row r="533" spans="1:5" ht="14.25" customHeight="1">
      <c r="A533" s="21"/>
      <c r="E533" s="22"/>
    </row>
    <row r="534" spans="1:5" ht="14.25" customHeight="1">
      <c r="A534" s="21"/>
      <c r="E534" s="22"/>
    </row>
    <row r="535" spans="1:5" ht="14.25" customHeight="1">
      <c r="A535" s="21"/>
      <c r="E535" s="22"/>
    </row>
    <row r="536" spans="1:5" ht="14.25" customHeight="1">
      <c r="A536" s="21"/>
      <c r="E536" s="22"/>
    </row>
    <row r="537" spans="1:5" ht="14.25" customHeight="1">
      <c r="A537" s="21"/>
      <c r="E537" s="22"/>
    </row>
    <row r="538" spans="1:5" ht="14.25" customHeight="1">
      <c r="A538" s="21"/>
      <c r="E538" s="22"/>
    </row>
    <row r="539" spans="1:5" ht="14.25" customHeight="1">
      <c r="A539" s="21"/>
      <c r="E539" s="22"/>
    </row>
    <row r="540" spans="1:5" ht="14.25" customHeight="1">
      <c r="A540" s="21"/>
      <c r="E540" s="22"/>
    </row>
    <row r="541" spans="1:5" ht="14.25" customHeight="1">
      <c r="A541" s="21"/>
      <c r="E541" s="22"/>
    </row>
    <row r="542" spans="1:5" ht="14.25" customHeight="1">
      <c r="A542" s="21"/>
      <c r="E542" s="22"/>
    </row>
    <row r="543" spans="1:5" ht="14.25" customHeight="1">
      <c r="A543" s="21"/>
      <c r="E543" s="22"/>
    </row>
    <row r="544" spans="1:5" ht="14.25" customHeight="1">
      <c r="A544" s="21"/>
      <c r="E544" s="22"/>
    </row>
    <row r="545" spans="1:5" ht="14.25" customHeight="1">
      <c r="A545" s="21"/>
      <c r="E545" s="22"/>
    </row>
    <row r="546" spans="1:5" ht="14.25" customHeight="1">
      <c r="A546" s="21"/>
      <c r="E546" s="22"/>
    </row>
    <row r="547" spans="1:5" ht="14.25" customHeight="1">
      <c r="A547" s="21"/>
      <c r="E547" s="22"/>
    </row>
    <row r="548" spans="1:5" ht="14.25" customHeight="1">
      <c r="A548" s="21"/>
      <c r="E548" s="22"/>
    </row>
    <row r="549" spans="1:5" ht="14.25" customHeight="1">
      <c r="A549" s="21"/>
      <c r="E549" s="22"/>
    </row>
    <row r="550" spans="1:5" ht="14.25" customHeight="1">
      <c r="A550" s="21"/>
      <c r="E550" s="22"/>
    </row>
    <row r="551" spans="1:5" ht="14.25" customHeight="1">
      <c r="A551" s="21"/>
      <c r="E551" s="22"/>
    </row>
    <row r="552" spans="1:5" ht="14.25" customHeight="1">
      <c r="A552" s="21"/>
      <c r="E552" s="22"/>
    </row>
    <row r="553" spans="1:5" ht="14.25" customHeight="1">
      <c r="A553" s="21"/>
      <c r="E553" s="22"/>
    </row>
    <row r="554" spans="1:5" ht="14.25" customHeight="1">
      <c r="A554" s="21"/>
      <c r="E554" s="22"/>
    </row>
    <row r="555" spans="1:5" ht="14.25" customHeight="1">
      <c r="A555" s="21"/>
      <c r="E555" s="22"/>
    </row>
    <row r="556" spans="1:5" ht="14.25" customHeight="1">
      <c r="A556" s="21"/>
      <c r="E556" s="22"/>
    </row>
    <row r="557" spans="1:5" ht="14.25" customHeight="1">
      <c r="A557" s="21"/>
      <c r="E557" s="22"/>
    </row>
    <row r="558" spans="1:5" ht="14.25" customHeight="1">
      <c r="A558" s="21"/>
      <c r="E558" s="22"/>
    </row>
    <row r="559" spans="1:5" ht="14.25" customHeight="1">
      <c r="A559" s="21"/>
      <c r="E559" s="22"/>
    </row>
    <row r="560" spans="1:5" ht="14.25" customHeight="1">
      <c r="A560" s="21"/>
      <c r="E560" s="22"/>
    </row>
    <row r="561" spans="1:5" ht="14.25" customHeight="1">
      <c r="A561" s="21"/>
      <c r="E561" s="22"/>
    </row>
    <row r="562" spans="1:5" ht="14.25" customHeight="1">
      <c r="A562" s="21"/>
      <c r="E562" s="22"/>
    </row>
    <row r="563" spans="1:5" ht="14.25" customHeight="1">
      <c r="A563" s="21"/>
      <c r="E563" s="22"/>
    </row>
    <row r="564" spans="1:5" ht="14.25" customHeight="1">
      <c r="A564" s="21"/>
      <c r="E564" s="22"/>
    </row>
    <row r="565" spans="1:5" ht="14.25" customHeight="1">
      <c r="A565" s="21"/>
      <c r="E565" s="22"/>
    </row>
    <row r="566" spans="1:5" ht="14.25" customHeight="1">
      <c r="A566" s="21"/>
      <c r="E566" s="22"/>
    </row>
    <row r="567" spans="1:5" ht="14.25" customHeight="1">
      <c r="A567" s="21"/>
      <c r="E567" s="22"/>
    </row>
    <row r="568" spans="1:5" ht="14.25" customHeight="1">
      <c r="A568" s="21"/>
      <c r="E568" s="22"/>
    </row>
    <row r="569" spans="1:5" ht="14.25" customHeight="1">
      <c r="A569" s="21"/>
      <c r="E569" s="22"/>
    </row>
    <row r="570" spans="1:5" ht="14.25" customHeight="1">
      <c r="A570" s="21"/>
      <c r="E570" s="22"/>
    </row>
    <row r="571" spans="1:5" ht="14.25" customHeight="1">
      <c r="A571" s="21"/>
      <c r="E571" s="22"/>
    </row>
    <row r="572" spans="1:5" ht="14.25" customHeight="1">
      <c r="A572" s="21"/>
      <c r="E572" s="22"/>
    </row>
    <row r="573" spans="1:5" ht="14.25" customHeight="1">
      <c r="A573" s="21"/>
      <c r="E573" s="22"/>
    </row>
    <row r="574" spans="1:5" ht="14.25" customHeight="1">
      <c r="A574" s="21"/>
      <c r="E574" s="22"/>
    </row>
    <row r="575" spans="1:5" ht="14.25" customHeight="1">
      <c r="A575" s="21"/>
      <c r="E575" s="22"/>
    </row>
    <row r="576" spans="1:5" ht="14.25" customHeight="1">
      <c r="A576" s="21"/>
      <c r="E576" s="22"/>
    </row>
    <row r="577" spans="1:5" ht="14.25" customHeight="1">
      <c r="A577" s="21"/>
      <c r="E577" s="22"/>
    </row>
    <row r="578" spans="1:5" ht="14.25" customHeight="1">
      <c r="A578" s="21"/>
      <c r="E578" s="22"/>
    </row>
    <row r="579" spans="1:5" ht="14.25" customHeight="1">
      <c r="A579" s="21"/>
      <c r="E579" s="22"/>
    </row>
    <row r="580" spans="1:5" ht="14.25" customHeight="1">
      <c r="A580" s="21"/>
      <c r="E580" s="22"/>
    </row>
    <row r="581" spans="1:5" ht="14.25" customHeight="1">
      <c r="A581" s="21"/>
      <c r="E581" s="22"/>
    </row>
    <row r="582" spans="1:5" ht="14.25" customHeight="1">
      <c r="A582" s="21"/>
      <c r="E582" s="22"/>
    </row>
    <row r="583" spans="1:5" ht="14.25" customHeight="1">
      <c r="A583" s="21"/>
      <c r="E583" s="22"/>
    </row>
    <row r="584" spans="1:5" ht="14.25" customHeight="1">
      <c r="A584" s="21"/>
      <c r="E584" s="22"/>
    </row>
    <row r="585" spans="1:5" ht="14.25" customHeight="1">
      <c r="A585" s="21"/>
      <c r="E585" s="22"/>
    </row>
    <row r="586" spans="1:5" ht="14.25" customHeight="1">
      <c r="A586" s="21"/>
      <c r="E586" s="22"/>
    </row>
    <row r="587" spans="1:5" ht="14.25" customHeight="1">
      <c r="A587" s="21"/>
      <c r="E587" s="22"/>
    </row>
    <row r="588" spans="1:5" ht="14.25" customHeight="1">
      <c r="A588" s="21"/>
      <c r="E588" s="22"/>
    </row>
    <row r="589" spans="1:5" ht="14.25" customHeight="1">
      <c r="A589" s="21"/>
      <c r="E589" s="22"/>
    </row>
    <row r="590" spans="1:5" ht="14.25" customHeight="1">
      <c r="A590" s="21"/>
      <c r="E590" s="22"/>
    </row>
    <row r="591" spans="1:5" ht="14.25" customHeight="1">
      <c r="A591" s="21"/>
      <c r="E591" s="22"/>
    </row>
    <row r="592" spans="1:5" ht="14.25" customHeight="1">
      <c r="A592" s="21"/>
      <c r="E592" s="22"/>
    </row>
    <row r="593" spans="1:5" ht="14.25" customHeight="1">
      <c r="A593" s="21"/>
      <c r="E593" s="22"/>
    </row>
    <row r="594" spans="1:5" ht="14.25" customHeight="1">
      <c r="A594" s="21"/>
      <c r="E594" s="22"/>
    </row>
    <row r="595" spans="1:5" ht="14.25" customHeight="1">
      <c r="A595" s="21"/>
      <c r="E595" s="22"/>
    </row>
    <row r="596" spans="1:5" ht="14.25" customHeight="1">
      <c r="A596" s="21"/>
      <c r="E596" s="22"/>
    </row>
    <row r="597" spans="1:5" ht="14.25" customHeight="1">
      <c r="A597" s="21"/>
      <c r="E597" s="22"/>
    </row>
    <row r="598" spans="1:5" ht="14.25" customHeight="1">
      <c r="A598" s="21"/>
      <c r="E598" s="22"/>
    </row>
    <row r="599" spans="1:5" ht="14.25" customHeight="1">
      <c r="A599" s="21"/>
      <c r="E599" s="22"/>
    </row>
    <row r="600" spans="1:5" ht="14.25" customHeight="1">
      <c r="A600" s="21"/>
      <c r="E600" s="22"/>
    </row>
    <row r="601" spans="1:5" ht="14.25" customHeight="1">
      <c r="A601" s="21"/>
      <c r="E601" s="22"/>
    </row>
    <row r="602" spans="1:5" ht="14.25" customHeight="1">
      <c r="A602" s="21"/>
      <c r="E602" s="22"/>
    </row>
    <row r="603" spans="1:5" ht="14.25" customHeight="1">
      <c r="A603" s="21"/>
      <c r="E603" s="22"/>
    </row>
    <row r="604" spans="1:5" ht="14.25" customHeight="1">
      <c r="A604" s="21"/>
      <c r="E604" s="22"/>
    </row>
    <row r="605" spans="1:5" ht="14.25" customHeight="1">
      <c r="A605" s="21"/>
      <c r="E605" s="22"/>
    </row>
    <row r="606" spans="1:5" ht="14.25" customHeight="1">
      <c r="A606" s="21"/>
      <c r="E606" s="22"/>
    </row>
    <row r="607" spans="1:5" ht="14.25" customHeight="1">
      <c r="A607" s="21"/>
      <c r="E607" s="22"/>
    </row>
    <row r="608" spans="1:5" ht="14.25" customHeight="1">
      <c r="A608" s="21"/>
      <c r="E608" s="22"/>
    </row>
    <row r="609" spans="1:5" ht="14.25" customHeight="1">
      <c r="A609" s="21"/>
      <c r="E609" s="22"/>
    </row>
    <row r="610" spans="1:5" ht="14.25" customHeight="1">
      <c r="A610" s="21"/>
      <c r="E610" s="22"/>
    </row>
    <row r="611" spans="1:5" ht="14.25" customHeight="1">
      <c r="A611" s="21"/>
      <c r="E611" s="22"/>
    </row>
    <row r="612" spans="1:5" ht="14.25" customHeight="1">
      <c r="A612" s="21"/>
      <c r="E612" s="22"/>
    </row>
    <row r="613" spans="1:5" ht="14.25" customHeight="1">
      <c r="A613" s="21"/>
      <c r="E613" s="22"/>
    </row>
    <row r="614" spans="1:5" ht="14.25" customHeight="1">
      <c r="A614" s="21"/>
      <c r="E614" s="22"/>
    </row>
    <row r="615" spans="1:5" ht="14.25" customHeight="1">
      <c r="A615" s="21"/>
      <c r="E615" s="22"/>
    </row>
    <row r="616" spans="1:5" ht="14.25" customHeight="1">
      <c r="A616" s="21"/>
      <c r="E616" s="22"/>
    </row>
    <row r="617" spans="1:5" ht="14.25" customHeight="1">
      <c r="A617" s="21"/>
      <c r="E617" s="22"/>
    </row>
    <row r="618" spans="1:5" ht="14.25" customHeight="1">
      <c r="A618" s="21"/>
      <c r="E618" s="22"/>
    </row>
    <row r="619" spans="1:5" ht="14.25" customHeight="1">
      <c r="A619" s="21"/>
      <c r="E619" s="22"/>
    </row>
    <row r="620" spans="1:5" ht="14.25" customHeight="1">
      <c r="A620" s="21"/>
      <c r="E620" s="22"/>
    </row>
    <row r="621" spans="1:5" ht="14.25" customHeight="1">
      <c r="A621" s="21"/>
      <c r="E621" s="22"/>
    </row>
    <row r="622" spans="1:5" ht="14.25" customHeight="1">
      <c r="A622" s="21"/>
      <c r="E622" s="22"/>
    </row>
    <row r="623" spans="1:5" ht="14.25" customHeight="1">
      <c r="A623" s="21"/>
      <c r="E623" s="22"/>
    </row>
    <row r="624" spans="1:5" ht="14.25" customHeight="1">
      <c r="A624" s="21"/>
      <c r="E624" s="22"/>
    </row>
    <row r="625" spans="1:5" ht="14.25" customHeight="1">
      <c r="A625" s="21"/>
      <c r="E625" s="22"/>
    </row>
    <row r="626" spans="1:5" ht="14.25" customHeight="1">
      <c r="A626" s="21"/>
      <c r="E626" s="22"/>
    </row>
    <row r="627" spans="1:5" ht="14.25" customHeight="1">
      <c r="A627" s="21"/>
      <c r="E627" s="22"/>
    </row>
    <row r="628" spans="1:5" ht="14.25" customHeight="1">
      <c r="A628" s="21"/>
      <c r="E628" s="22"/>
    </row>
    <row r="629" spans="1:5" ht="14.25" customHeight="1">
      <c r="A629" s="21"/>
      <c r="E629" s="22"/>
    </row>
    <row r="630" spans="1:5" ht="14.25" customHeight="1">
      <c r="A630" s="21"/>
      <c r="E630" s="22"/>
    </row>
    <row r="631" spans="1:5" ht="14.25" customHeight="1">
      <c r="A631" s="21"/>
      <c r="E631" s="22"/>
    </row>
    <row r="632" spans="1:5" ht="14.25" customHeight="1">
      <c r="A632" s="21"/>
      <c r="E632" s="22"/>
    </row>
    <row r="633" spans="1:5" ht="14.25" customHeight="1">
      <c r="A633" s="21"/>
      <c r="E633" s="22"/>
    </row>
    <row r="634" spans="1:5" ht="14.25" customHeight="1">
      <c r="A634" s="21"/>
      <c r="E634" s="22"/>
    </row>
    <row r="635" spans="1:5" ht="14.25" customHeight="1">
      <c r="A635" s="21"/>
      <c r="E635" s="22"/>
    </row>
    <row r="636" spans="1:5" ht="14.25" customHeight="1">
      <c r="A636" s="21"/>
      <c r="E636" s="22"/>
    </row>
    <row r="637" spans="1:5" ht="14.25" customHeight="1">
      <c r="A637" s="21"/>
      <c r="E637" s="22"/>
    </row>
    <row r="638" spans="1:5" ht="14.25" customHeight="1">
      <c r="A638" s="21"/>
      <c r="E638" s="22"/>
    </row>
    <row r="639" spans="1:5" ht="14.25" customHeight="1">
      <c r="A639" s="21"/>
      <c r="E639" s="22"/>
    </row>
    <row r="640" spans="1:5" ht="14.25" customHeight="1">
      <c r="A640" s="21"/>
      <c r="E640" s="22"/>
    </row>
    <row r="641" spans="1:5" ht="14.25" customHeight="1">
      <c r="A641" s="21"/>
      <c r="E641" s="22"/>
    </row>
    <row r="642" spans="1:5" ht="14.25" customHeight="1">
      <c r="A642" s="21"/>
      <c r="E642" s="22"/>
    </row>
    <row r="643" spans="1:5" ht="14.25" customHeight="1">
      <c r="A643" s="21"/>
      <c r="E643" s="22"/>
    </row>
    <row r="644" spans="1:5" ht="14.25" customHeight="1">
      <c r="A644" s="21"/>
      <c r="E644" s="22"/>
    </row>
    <row r="645" spans="1:5" ht="14.25" customHeight="1">
      <c r="A645" s="21"/>
      <c r="E645" s="22"/>
    </row>
    <row r="646" spans="1:5" ht="14.25" customHeight="1">
      <c r="A646" s="21"/>
      <c r="E646" s="22"/>
    </row>
    <row r="647" spans="1:5" ht="14.25" customHeight="1">
      <c r="A647" s="21"/>
      <c r="E647" s="22"/>
    </row>
    <row r="648" spans="1:5" ht="14.25" customHeight="1">
      <c r="A648" s="21"/>
      <c r="E648" s="22"/>
    </row>
    <row r="649" spans="1:5" ht="14.25" customHeight="1">
      <c r="A649" s="21"/>
      <c r="E649" s="22"/>
    </row>
    <row r="650" spans="1:5" ht="14.25" customHeight="1">
      <c r="A650" s="21"/>
      <c r="E650" s="22"/>
    </row>
    <row r="651" spans="1:5" ht="14.25" customHeight="1">
      <c r="A651" s="21"/>
      <c r="E651" s="22"/>
    </row>
    <row r="652" spans="1:5" ht="14.25" customHeight="1">
      <c r="A652" s="21"/>
      <c r="E652" s="22"/>
    </row>
    <row r="653" spans="1:5" ht="14.25" customHeight="1">
      <c r="A653" s="21"/>
      <c r="E653" s="22"/>
    </row>
    <row r="654" spans="1:5" ht="14.25" customHeight="1">
      <c r="A654" s="21"/>
      <c r="E654" s="22"/>
    </row>
    <row r="655" spans="1:5" ht="14.25" customHeight="1">
      <c r="A655" s="21"/>
      <c r="E655" s="22"/>
    </row>
    <row r="656" spans="1:5" ht="14.25" customHeight="1">
      <c r="A656" s="21"/>
      <c r="E656" s="22"/>
    </row>
    <row r="657" spans="1:5" ht="14.25" customHeight="1">
      <c r="A657" s="21"/>
      <c r="E657" s="22"/>
    </row>
    <row r="658" spans="1:5" ht="14.25" customHeight="1">
      <c r="A658" s="21"/>
      <c r="E658" s="22"/>
    </row>
    <row r="659" spans="1:5" ht="14.25" customHeight="1">
      <c r="A659" s="21"/>
      <c r="E659" s="22"/>
    </row>
    <row r="660" spans="1:5" ht="14.25" customHeight="1">
      <c r="A660" s="21"/>
      <c r="E660" s="22"/>
    </row>
    <row r="661" spans="1:5" ht="14.25" customHeight="1">
      <c r="A661" s="21"/>
      <c r="E661" s="22"/>
    </row>
    <row r="662" spans="1:5" ht="14.25" customHeight="1">
      <c r="A662" s="21"/>
      <c r="E662" s="22"/>
    </row>
    <row r="663" spans="1:5" ht="14.25" customHeight="1">
      <c r="A663" s="21"/>
      <c r="E663" s="22"/>
    </row>
    <row r="664" spans="1:5" ht="14.25" customHeight="1">
      <c r="A664" s="21"/>
      <c r="E664" s="22"/>
    </row>
    <row r="665" spans="1:5" ht="14.25" customHeight="1">
      <c r="A665" s="21"/>
      <c r="E665" s="22"/>
    </row>
    <row r="666" spans="1:5" ht="14.25" customHeight="1">
      <c r="A666" s="21"/>
      <c r="E666" s="22"/>
    </row>
    <row r="667" spans="1:5" ht="14.25" customHeight="1">
      <c r="A667" s="21"/>
      <c r="E667" s="22"/>
    </row>
    <row r="668" spans="1:5" ht="14.25" customHeight="1">
      <c r="A668" s="21"/>
      <c r="E668" s="22"/>
    </row>
    <row r="669" spans="1:5" ht="14.25" customHeight="1">
      <c r="A669" s="21"/>
      <c r="E669" s="22"/>
    </row>
    <row r="670" spans="1:5" ht="14.25" customHeight="1">
      <c r="A670" s="21"/>
      <c r="E670" s="22"/>
    </row>
    <row r="671" spans="1:5" ht="14.25" customHeight="1">
      <c r="A671" s="21"/>
      <c r="E671" s="22"/>
    </row>
    <row r="672" spans="1:5" ht="14.25" customHeight="1">
      <c r="A672" s="21"/>
      <c r="E672" s="22"/>
    </row>
    <row r="673" spans="1:5" ht="14.25" customHeight="1">
      <c r="A673" s="21"/>
      <c r="E673" s="22"/>
    </row>
    <row r="674" spans="1:5" ht="14.25" customHeight="1">
      <c r="A674" s="21"/>
      <c r="E674" s="22"/>
    </row>
    <row r="675" spans="1:5" ht="14.25" customHeight="1">
      <c r="A675" s="21"/>
      <c r="E675" s="22"/>
    </row>
    <row r="676" spans="1:5" ht="14.25" customHeight="1">
      <c r="A676" s="21"/>
      <c r="E676" s="22"/>
    </row>
    <row r="677" spans="1:5" ht="14.25" customHeight="1">
      <c r="A677" s="21"/>
      <c r="E677" s="22"/>
    </row>
    <row r="678" spans="1:5" ht="14.25" customHeight="1">
      <c r="A678" s="21"/>
      <c r="E678" s="22"/>
    </row>
    <row r="679" spans="1:5" ht="14.25" customHeight="1">
      <c r="A679" s="21"/>
      <c r="E679" s="22"/>
    </row>
    <row r="680" spans="1:5" ht="14.25" customHeight="1">
      <c r="A680" s="21"/>
      <c r="E680" s="22"/>
    </row>
    <row r="681" spans="1:5" ht="14.25" customHeight="1">
      <c r="A681" s="21"/>
      <c r="E681" s="22"/>
    </row>
    <row r="682" spans="1:5" ht="14.25" customHeight="1">
      <c r="A682" s="21"/>
      <c r="E682" s="22"/>
    </row>
    <row r="683" spans="1:5" ht="14.25" customHeight="1">
      <c r="A683" s="21"/>
      <c r="E683" s="22"/>
    </row>
    <row r="684" spans="1:5" ht="14.25" customHeight="1">
      <c r="A684" s="21"/>
      <c r="E684" s="22"/>
    </row>
    <row r="685" spans="1:5" ht="14.25" customHeight="1">
      <c r="A685" s="21"/>
      <c r="E685" s="22"/>
    </row>
    <row r="686" spans="1:5" ht="14.25" customHeight="1">
      <c r="A686" s="21"/>
      <c r="E686" s="22"/>
    </row>
    <row r="687" spans="1:5" ht="14.25" customHeight="1">
      <c r="A687" s="21"/>
      <c r="E687" s="22"/>
    </row>
    <row r="688" spans="1:5" ht="14.25" customHeight="1">
      <c r="A688" s="21"/>
      <c r="E688" s="22"/>
    </row>
    <row r="689" spans="1:5" ht="14.25" customHeight="1">
      <c r="A689" s="21"/>
      <c r="E689" s="22"/>
    </row>
    <row r="690" spans="1:5" ht="14.25" customHeight="1">
      <c r="A690" s="21"/>
      <c r="E690" s="22"/>
    </row>
    <row r="691" spans="1:5" ht="14.25" customHeight="1">
      <c r="A691" s="21"/>
      <c r="E691" s="22"/>
    </row>
    <row r="692" spans="1:5" ht="14.25" customHeight="1">
      <c r="A692" s="21"/>
      <c r="E692" s="22"/>
    </row>
    <row r="693" spans="1:5" ht="14.25" customHeight="1">
      <c r="A693" s="21"/>
      <c r="E693" s="22"/>
    </row>
    <row r="694" spans="1:5" ht="14.25" customHeight="1">
      <c r="A694" s="21"/>
      <c r="E694" s="22"/>
    </row>
    <row r="695" spans="1:5" ht="14.25" customHeight="1">
      <c r="A695" s="21"/>
      <c r="E695" s="22"/>
    </row>
    <row r="696" spans="1:5" ht="14.25" customHeight="1">
      <c r="A696" s="21"/>
      <c r="E696" s="22"/>
    </row>
    <row r="697" spans="1:5" ht="14.25" customHeight="1">
      <c r="A697" s="21"/>
      <c r="E697" s="22"/>
    </row>
    <row r="698" spans="1:5" ht="14.25" customHeight="1">
      <c r="A698" s="21"/>
      <c r="E698" s="22"/>
    </row>
    <row r="699" spans="1:5" ht="14.25" customHeight="1">
      <c r="A699" s="21"/>
      <c r="E699" s="22"/>
    </row>
    <row r="700" spans="1:5" ht="14.25" customHeight="1">
      <c r="A700" s="21"/>
      <c r="E700" s="22"/>
    </row>
    <row r="701" spans="1:5" ht="14.25" customHeight="1">
      <c r="A701" s="21"/>
      <c r="E701" s="22"/>
    </row>
    <row r="702" spans="1:5" ht="14.25" customHeight="1">
      <c r="A702" s="21"/>
      <c r="E702" s="22"/>
    </row>
    <row r="703" spans="1:5" ht="14.25" customHeight="1">
      <c r="A703" s="21"/>
      <c r="E703" s="22"/>
    </row>
    <row r="704" spans="1:5" ht="14.25" customHeight="1">
      <c r="A704" s="21"/>
      <c r="E704" s="22"/>
    </row>
    <row r="705" spans="1:5" ht="14.25" customHeight="1">
      <c r="A705" s="21"/>
      <c r="E705" s="22"/>
    </row>
    <row r="706" spans="1:5" ht="14.25" customHeight="1">
      <c r="A706" s="21"/>
      <c r="E706" s="22"/>
    </row>
    <row r="707" spans="1:5" ht="14.25" customHeight="1">
      <c r="A707" s="21"/>
      <c r="E707" s="22"/>
    </row>
    <row r="708" spans="1:5" ht="14.25" customHeight="1">
      <c r="A708" s="21"/>
      <c r="E708" s="22"/>
    </row>
    <row r="709" spans="1:5" ht="14.25" customHeight="1">
      <c r="A709" s="21"/>
      <c r="E709" s="22"/>
    </row>
    <row r="710" spans="1:5" ht="14.25" customHeight="1">
      <c r="A710" s="21"/>
      <c r="E710" s="22"/>
    </row>
    <row r="711" spans="1:5" ht="14.25" customHeight="1">
      <c r="A711" s="21"/>
      <c r="E711" s="22"/>
    </row>
    <row r="712" spans="1:5" ht="14.25" customHeight="1">
      <c r="A712" s="21"/>
      <c r="E712" s="22"/>
    </row>
    <row r="713" spans="1:5" ht="14.25" customHeight="1">
      <c r="A713" s="21"/>
      <c r="E713" s="22"/>
    </row>
    <row r="714" spans="1:5" ht="14.25" customHeight="1">
      <c r="A714" s="21"/>
      <c r="E714" s="22"/>
    </row>
    <row r="715" spans="1:5" ht="14.25" customHeight="1">
      <c r="A715" s="21"/>
      <c r="E715" s="22"/>
    </row>
    <row r="716" spans="1:5" ht="14.25" customHeight="1">
      <c r="A716" s="21"/>
      <c r="E716" s="22"/>
    </row>
    <row r="717" spans="1:5" ht="14.25" customHeight="1">
      <c r="A717" s="21"/>
      <c r="E717" s="22"/>
    </row>
    <row r="718" spans="1:5" ht="14.25" customHeight="1">
      <c r="A718" s="21"/>
      <c r="E718" s="22"/>
    </row>
    <row r="719" spans="1:5" ht="14.25" customHeight="1">
      <c r="A719" s="21"/>
      <c r="E719" s="22"/>
    </row>
    <row r="720" spans="1:5" ht="14.25" customHeight="1">
      <c r="A720" s="21"/>
      <c r="E720" s="22"/>
    </row>
    <row r="721" spans="1:5" ht="14.25" customHeight="1">
      <c r="A721" s="21"/>
      <c r="E721" s="22"/>
    </row>
    <row r="722" spans="1:5" ht="14.25" customHeight="1">
      <c r="A722" s="21"/>
      <c r="E722" s="22"/>
    </row>
    <row r="723" spans="1:5" ht="14.25" customHeight="1">
      <c r="A723" s="21"/>
      <c r="E723" s="22"/>
    </row>
    <row r="724" spans="1:5" ht="14.25" customHeight="1">
      <c r="A724" s="21"/>
      <c r="E724" s="22"/>
    </row>
    <row r="725" spans="1:5" ht="14.25" customHeight="1">
      <c r="A725" s="21"/>
      <c r="E725" s="22"/>
    </row>
    <row r="726" spans="1:5" ht="14.25" customHeight="1">
      <c r="A726" s="21"/>
      <c r="E726" s="22"/>
    </row>
    <row r="727" spans="1:5" ht="14.25" customHeight="1">
      <c r="A727" s="21"/>
      <c r="E727" s="22"/>
    </row>
    <row r="728" spans="1:5" ht="14.25" customHeight="1">
      <c r="A728" s="21"/>
      <c r="E728" s="22"/>
    </row>
    <row r="729" spans="1:5" ht="14.25" customHeight="1">
      <c r="A729" s="21"/>
      <c r="E729" s="22"/>
    </row>
    <row r="730" spans="1:5" ht="14.25" customHeight="1">
      <c r="A730" s="21"/>
      <c r="E730" s="22"/>
    </row>
    <row r="731" spans="1:5" ht="14.25" customHeight="1">
      <c r="A731" s="21"/>
      <c r="E731" s="22"/>
    </row>
    <row r="732" spans="1:5" ht="14.25" customHeight="1">
      <c r="A732" s="21"/>
      <c r="E732" s="22"/>
    </row>
    <row r="733" spans="1:5" ht="14.25" customHeight="1">
      <c r="A733" s="21"/>
      <c r="E733" s="22"/>
    </row>
    <row r="734" spans="1:5" ht="14.25" customHeight="1">
      <c r="A734" s="21"/>
      <c r="E734" s="22"/>
    </row>
    <row r="735" spans="1:5" ht="14.25" customHeight="1">
      <c r="A735" s="21"/>
      <c r="E735" s="22"/>
    </row>
    <row r="736" spans="1:5" ht="14.25" customHeight="1">
      <c r="A736" s="21"/>
      <c r="E736" s="22"/>
    </row>
    <row r="737" spans="1:5" ht="14.25" customHeight="1">
      <c r="A737" s="21"/>
      <c r="E737" s="22"/>
    </row>
    <row r="738" spans="1:5" ht="14.25" customHeight="1">
      <c r="A738" s="21"/>
      <c r="E738" s="22"/>
    </row>
    <row r="739" spans="1:5" ht="14.25" customHeight="1">
      <c r="A739" s="21"/>
      <c r="E739" s="22"/>
    </row>
    <row r="740" spans="1:5" ht="14.25" customHeight="1">
      <c r="A740" s="21"/>
      <c r="E740" s="22"/>
    </row>
    <row r="741" spans="1:5" ht="14.25" customHeight="1">
      <c r="A741" s="21"/>
      <c r="E741" s="22"/>
    </row>
    <row r="742" spans="1:5" ht="14.25" customHeight="1">
      <c r="A742" s="21"/>
      <c r="E742" s="22"/>
    </row>
    <row r="743" spans="1:5" ht="14.25" customHeight="1">
      <c r="A743" s="21"/>
      <c r="E743" s="22"/>
    </row>
    <row r="744" spans="1:5" ht="14.25" customHeight="1">
      <c r="A744" s="21"/>
      <c r="E744" s="22"/>
    </row>
    <row r="745" spans="1:5" ht="14.25" customHeight="1">
      <c r="A745" s="21"/>
      <c r="E745" s="22"/>
    </row>
    <row r="746" spans="1:5" ht="14.25" customHeight="1">
      <c r="A746" s="21"/>
      <c r="E746" s="22"/>
    </row>
    <row r="747" spans="1:5" ht="14.25" customHeight="1">
      <c r="A747" s="21"/>
      <c r="E747" s="22"/>
    </row>
    <row r="748" spans="1:5" ht="14.25" customHeight="1">
      <c r="A748" s="21"/>
      <c r="E748" s="22"/>
    </row>
    <row r="749" spans="1:5" ht="14.25" customHeight="1">
      <c r="A749" s="21"/>
      <c r="E749" s="22"/>
    </row>
    <row r="750" spans="1:5" ht="14.25" customHeight="1">
      <c r="A750" s="21"/>
      <c r="E750" s="22"/>
    </row>
    <row r="751" spans="1:5" ht="14.25" customHeight="1">
      <c r="A751" s="21"/>
      <c r="E751" s="22"/>
    </row>
    <row r="752" spans="1:5" ht="14.25" customHeight="1">
      <c r="A752" s="21"/>
      <c r="E752" s="22"/>
    </row>
    <row r="753" spans="1:5" ht="14.25" customHeight="1">
      <c r="A753" s="21"/>
      <c r="E753" s="22"/>
    </row>
    <row r="754" spans="1:5" ht="14.25" customHeight="1">
      <c r="A754" s="21"/>
      <c r="E754" s="22"/>
    </row>
    <row r="755" spans="1:5" ht="14.25" customHeight="1">
      <c r="A755" s="21"/>
      <c r="E755" s="22"/>
    </row>
    <row r="756" spans="1:5" ht="14.25" customHeight="1">
      <c r="A756" s="21"/>
      <c r="E756" s="22"/>
    </row>
    <row r="757" spans="1:5" ht="14.25" customHeight="1">
      <c r="A757" s="21"/>
      <c r="E757" s="22"/>
    </row>
    <row r="758" spans="1:5" ht="14.25" customHeight="1">
      <c r="A758" s="21"/>
      <c r="E758" s="22"/>
    </row>
    <row r="759" spans="1:5" ht="14.25" customHeight="1">
      <c r="A759" s="21"/>
      <c r="E759" s="22"/>
    </row>
    <row r="760" spans="1:5" ht="14.25" customHeight="1">
      <c r="A760" s="21"/>
      <c r="E760" s="22"/>
    </row>
    <row r="761" spans="1:5" ht="14.25" customHeight="1">
      <c r="A761" s="21"/>
      <c r="E761" s="22"/>
    </row>
    <row r="762" spans="1:5" ht="14.25" customHeight="1">
      <c r="A762" s="21"/>
      <c r="E762" s="22"/>
    </row>
    <row r="763" spans="1:5" ht="14.25" customHeight="1">
      <c r="A763" s="21"/>
      <c r="E763" s="22"/>
    </row>
    <row r="764" spans="1:5" ht="14.25" customHeight="1">
      <c r="A764" s="21"/>
      <c r="E764" s="22"/>
    </row>
    <row r="765" spans="1:5" ht="14.25" customHeight="1">
      <c r="A765" s="21"/>
      <c r="E765" s="22"/>
    </row>
    <row r="766" spans="1:5" ht="14.25" customHeight="1">
      <c r="A766" s="21"/>
      <c r="E766" s="22"/>
    </row>
    <row r="767" spans="1:5" ht="14.25" customHeight="1">
      <c r="A767" s="21"/>
      <c r="E767" s="22"/>
    </row>
    <row r="768" spans="1:5" ht="14.25" customHeight="1">
      <c r="A768" s="21"/>
      <c r="E768" s="22"/>
    </row>
    <row r="769" spans="1:5" ht="14.25" customHeight="1">
      <c r="A769" s="21"/>
      <c r="E769" s="22"/>
    </row>
    <row r="770" spans="1:5" ht="14.25" customHeight="1">
      <c r="A770" s="21"/>
      <c r="E770" s="22"/>
    </row>
    <row r="771" spans="1:5" ht="14.25" customHeight="1">
      <c r="A771" s="21"/>
      <c r="E771" s="22"/>
    </row>
    <row r="772" spans="1:5" ht="14.25" customHeight="1">
      <c r="A772" s="21"/>
      <c r="E772" s="22"/>
    </row>
    <row r="773" spans="1:5" ht="14.25" customHeight="1">
      <c r="A773" s="21"/>
      <c r="E773" s="22"/>
    </row>
    <row r="774" spans="1:5" ht="14.25" customHeight="1">
      <c r="A774" s="21"/>
      <c r="E774" s="22"/>
    </row>
    <row r="775" spans="1:5" ht="14.25" customHeight="1">
      <c r="A775" s="21"/>
      <c r="E775" s="22"/>
    </row>
    <row r="776" spans="1:5" ht="14.25" customHeight="1">
      <c r="A776" s="21"/>
      <c r="E776" s="22"/>
    </row>
    <row r="777" spans="1:5" ht="14.25" customHeight="1">
      <c r="A777" s="21"/>
      <c r="E777" s="22"/>
    </row>
    <row r="778" spans="1:5" ht="14.25" customHeight="1">
      <c r="A778" s="21"/>
      <c r="E778" s="22"/>
    </row>
    <row r="779" spans="1:5" ht="14.25" customHeight="1">
      <c r="A779" s="21"/>
      <c r="E779" s="22"/>
    </row>
    <row r="780" spans="1:5" ht="14.25" customHeight="1">
      <c r="A780" s="21"/>
      <c r="E780" s="22"/>
    </row>
    <row r="781" spans="1:5" ht="14.25" customHeight="1">
      <c r="A781" s="21"/>
      <c r="E781" s="22"/>
    </row>
    <row r="782" spans="1:5" ht="14.25" customHeight="1">
      <c r="A782" s="21"/>
      <c r="E782" s="22"/>
    </row>
    <row r="783" spans="1:5" ht="14.25" customHeight="1">
      <c r="A783" s="21"/>
      <c r="E783" s="22"/>
    </row>
    <row r="784" spans="1:5" ht="14.25" customHeight="1">
      <c r="A784" s="21"/>
      <c r="E784" s="22"/>
    </row>
    <row r="785" spans="1:5" ht="14.25" customHeight="1">
      <c r="A785" s="21"/>
      <c r="E785" s="22"/>
    </row>
    <row r="786" spans="1:5" ht="14.25" customHeight="1">
      <c r="A786" s="21"/>
      <c r="E786" s="22"/>
    </row>
    <row r="787" spans="1:5" ht="14.25" customHeight="1">
      <c r="A787" s="21"/>
      <c r="E787" s="22"/>
    </row>
    <row r="788" spans="1:5" ht="14.25" customHeight="1">
      <c r="A788" s="21"/>
      <c r="E788" s="22"/>
    </row>
    <row r="789" spans="1:5" ht="14.25" customHeight="1">
      <c r="A789" s="21"/>
      <c r="E789" s="22"/>
    </row>
    <row r="790" spans="1:5" ht="14.25" customHeight="1">
      <c r="A790" s="21"/>
      <c r="E790" s="22"/>
    </row>
    <row r="791" spans="1:5" ht="14.25" customHeight="1">
      <c r="A791" s="21"/>
      <c r="E791" s="22"/>
    </row>
    <row r="792" spans="1:5" ht="14.25" customHeight="1">
      <c r="A792" s="21"/>
      <c r="E792" s="22"/>
    </row>
    <row r="793" spans="1:5" ht="14.25" customHeight="1">
      <c r="A793" s="21"/>
      <c r="E793" s="22"/>
    </row>
    <row r="794" spans="1:5" ht="14.25" customHeight="1">
      <c r="A794" s="21"/>
      <c r="E794" s="22"/>
    </row>
    <row r="795" spans="1:5" ht="14.25" customHeight="1">
      <c r="A795" s="21"/>
      <c r="E795" s="22"/>
    </row>
    <row r="796" spans="1:5" ht="14.25" customHeight="1">
      <c r="A796" s="21"/>
      <c r="E796" s="22"/>
    </row>
    <row r="797" spans="1:5" ht="14.25" customHeight="1">
      <c r="A797" s="21"/>
      <c r="E797" s="22"/>
    </row>
    <row r="798" spans="1:5" ht="14.25" customHeight="1">
      <c r="A798" s="21"/>
      <c r="E798" s="22"/>
    </row>
    <row r="799" spans="1:5" ht="14.25" customHeight="1">
      <c r="A799" s="21"/>
      <c r="E799" s="22"/>
    </row>
    <row r="800" spans="1:5" ht="14.25" customHeight="1">
      <c r="A800" s="21"/>
      <c r="E800" s="22"/>
    </row>
    <row r="801" spans="1:5" ht="14.25" customHeight="1">
      <c r="A801" s="21"/>
      <c r="E801" s="22"/>
    </row>
    <row r="802" spans="1:5" ht="14.25" customHeight="1">
      <c r="A802" s="21"/>
      <c r="E802" s="22"/>
    </row>
    <row r="803" spans="1:5" ht="14.25" customHeight="1">
      <c r="A803" s="21"/>
      <c r="E803" s="22"/>
    </row>
    <row r="804" spans="1:5" ht="14.25" customHeight="1">
      <c r="A804" s="21"/>
      <c r="E804" s="22"/>
    </row>
    <row r="805" spans="1:5" ht="14.25" customHeight="1">
      <c r="A805" s="21"/>
      <c r="E805" s="22"/>
    </row>
    <row r="806" spans="1:5" ht="14.25" customHeight="1">
      <c r="A806" s="21"/>
      <c r="E806" s="22"/>
    </row>
    <row r="807" spans="1:5" ht="14.25" customHeight="1">
      <c r="A807" s="21"/>
      <c r="E807" s="22"/>
    </row>
    <row r="808" spans="1:5" ht="14.25" customHeight="1">
      <c r="A808" s="21"/>
      <c r="E808" s="22"/>
    </row>
    <row r="809" spans="1:5" ht="14.25" customHeight="1">
      <c r="A809" s="21"/>
      <c r="E809" s="22"/>
    </row>
    <row r="810" spans="1:5" ht="14.25" customHeight="1">
      <c r="A810" s="21"/>
      <c r="E810" s="22"/>
    </row>
    <row r="811" spans="1:5" ht="14.25" customHeight="1">
      <c r="A811" s="21"/>
      <c r="E811" s="22"/>
    </row>
    <row r="812" spans="1:5" ht="14.25" customHeight="1">
      <c r="A812" s="21"/>
      <c r="E812" s="22"/>
    </row>
    <row r="813" spans="1:5" ht="14.25" customHeight="1">
      <c r="A813" s="21"/>
      <c r="E813" s="22"/>
    </row>
    <row r="814" spans="1:5" ht="14.25" customHeight="1">
      <c r="A814" s="21"/>
      <c r="E814" s="22"/>
    </row>
    <row r="815" spans="1:5" ht="14.25" customHeight="1">
      <c r="A815" s="21"/>
      <c r="E815" s="22"/>
    </row>
    <row r="816" spans="1:5" ht="14.25" customHeight="1">
      <c r="A816" s="21"/>
      <c r="E816" s="22"/>
    </row>
    <row r="817" spans="1:5" ht="14.25" customHeight="1">
      <c r="A817" s="21"/>
      <c r="E817" s="22"/>
    </row>
    <row r="818" spans="1:5" ht="14.25" customHeight="1">
      <c r="A818" s="21"/>
      <c r="E818" s="22"/>
    </row>
    <row r="819" spans="1:5" ht="14.25" customHeight="1">
      <c r="A819" s="21"/>
      <c r="E819" s="22"/>
    </row>
    <row r="820" spans="1:5" ht="14.25" customHeight="1">
      <c r="A820" s="21"/>
      <c r="E820" s="22"/>
    </row>
    <row r="821" spans="1:5" ht="14.25" customHeight="1">
      <c r="A821" s="21"/>
      <c r="E821" s="22"/>
    </row>
    <row r="822" spans="1:5" ht="14.25" customHeight="1">
      <c r="A822" s="21"/>
      <c r="E822" s="22"/>
    </row>
    <row r="823" spans="1:5" ht="14.25" customHeight="1">
      <c r="A823" s="21"/>
      <c r="E823" s="22"/>
    </row>
    <row r="824" spans="1:5" ht="14.25" customHeight="1">
      <c r="A824" s="21"/>
      <c r="E824" s="22"/>
    </row>
    <row r="825" spans="1:5" ht="14.25" customHeight="1">
      <c r="A825" s="21"/>
      <c r="E825" s="22"/>
    </row>
    <row r="826" spans="1:5" ht="14.25" customHeight="1">
      <c r="A826" s="21"/>
      <c r="E826" s="22"/>
    </row>
    <row r="827" spans="1:5" ht="14.25" customHeight="1">
      <c r="A827" s="21"/>
      <c r="E827" s="22"/>
    </row>
    <row r="828" spans="1:5" ht="14.25" customHeight="1">
      <c r="A828" s="21"/>
      <c r="E828" s="22"/>
    </row>
    <row r="829" spans="1:5" ht="14.25" customHeight="1">
      <c r="A829" s="21"/>
      <c r="E829" s="22"/>
    </row>
    <row r="830" spans="1:5" ht="14.25" customHeight="1">
      <c r="A830" s="21"/>
      <c r="E830" s="22"/>
    </row>
    <row r="831" spans="1:5" ht="14.25" customHeight="1">
      <c r="A831" s="21"/>
      <c r="E831" s="22"/>
    </row>
    <row r="832" spans="1:5" ht="14.25" customHeight="1">
      <c r="A832" s="21"/>
      <c r="E832" s="22"/>
    </row>
    <row r="833" spans="1:5" ht="14.25" customHeight="1">
      <c r="A833" s="21"/>
      <c r="E833" s="22"/>
    </row>
    <row r="834" spans="1:5" ht="14.25" customHeight="1">
      <c r="A834" s="21"/>
      <c r="E834" s="22"/>
    </row>
    <row r="835" spans="1:5" ht="14.25" customHeight="1">
      <c r="A835" s="21"/>
      <c r="E835" s="22"/>
    </row>
    <row r="836" spans="1:5" ht="14.25" customHeight="1">
      <c r="A836" s="21"/>
      <c r="E836" s="22"/>
    </row>
    <row r="837" spans="1:5" ht="14.25" customHeight="1">
      <c r="A837" s="21"/>
      <c r="E837" s="22"/>
    </row>
    <row r="838" spans="1:5" ht="14.25" customHeight="1">
      <c r="A838" s="21"/>
      <c r="E838" s="22"/>
    </row>
    <row r="839" spans="1:5" ht="14.25" customHeight="1">
      <c r="A839" s="21"/>
      <c r="E839" s="22"/>
    </row>
    <row r="840" spans="1:5" ht="14.25" customHeight="1">
      <c r="A840" s="21"/>
      <c r="E840" s="22"/>
    </row>
    <row r="841" spans="1:5" ht="14.25" customHeight="1">
      <c r="A841" s="21"/>
      <c r="E841" s="22"/>
    </row>
    <row r="842" spans="1:5" ht="14.25" customHeight="1">
      <c r="A842" s="21"/>
      <c r="E842" s="22"/>
    </row>
    <row r="843" spans="1:5" ht="14.25" customHeight="1">
      <c r="A843" s="21"/>
      <c r="E843" s="22"/>
    </row>
    <row r="844" spans="1:5" ht="14.25" customHeight="1">
      <c r="A844" s="21"/>
      <c r="E844" s="22"/>
    </row>
    <row r="845" spans="1:5" ht="14.25" customHeight="1">
      <c r="A845" s="21"/>
      <c r="E845" s="22"/>
    </row>
    <row r="846" spans="1:5" ht="14.25" customHeight="1">
      <c r="A846" s="21"/>
      <c r="E846" s="22"/>
    </row>
    <row r="847" spans="1:5" ht="14.25" customHeight="1">
      <c r="A847" s="21"/>
      <c r="E847" s="22"/>
    </row>
    <row r="848" spans="1:5" ht="14.25" customHeight="1">
      <c r="A848" s="21"/>
      <c r="E848" s="22"/>
    </row>
    <row r="849" spans="1:5" ht="14.25" customHeight="1">
      <c r="A849" s="21"/>
      <c r="E849" s="22"/>
    </row>
    <row r="850" spans="1:5" ht="14.25" customHeight="1">
      <c r="A850" s="21"/>
      <c r="E850" s="22"/>
    </row>
    <row r="851" spans="1:5" ht="14.25" customHeight="1">
      <c r="A851" s="21"/>
      <c r="E851" s="22"/>
    </row>
    <row r="852" spans="1:5" ht="14.25" customHeight="1">
      <c r="A852" s="21"/>
      <c r="E852" s="22"/>
    </row>
    <row r="853" spans="1:5" ht="14.25" customHeight="1">
      <c r="A853" s="21"/>
      <c r="E853" s="22"/>
    </row>
    <row r="854" spans="1:5" ht="14.25" customHeight="1">
      <c r="A854" s="21"/>
      <c r="E854" s="22"/>
    </row>
    <row r="855" spans="1:5" ht="14.25" customHeight="1">
      <c r="A855" s="21"/>
      <c r="E855" s="22"/>
    </row>
    <row r="856" spans="1:5" ht="14.25" customHeight="1">
      <c r="A856" s="21"/>
      <c r="E856" s="22"/>
    </row>
    <row r="857" spans="1:5" ht="14.25" customHeight="1">
      <c r="A857" s="21"/>
      <c r="E857" s="22"/>
    </row>
    <row r="858" spans="1:5" ht="14.25" customHeight="1">
      <c r="A858" s="21"/>
      <c r="E858" s="22"/>
    </row>
    <row r="859" spans="1:5" ht="14.25" customHeight="1">
      <c r="A859" s="21"/>
      <c r="E859" s="22"/>
    </row>
    <row r="860" spans="1:5" ht="14.25" customHeight="1">
      <c r="A860" s="21"/>
      <c r="E860" s="22"/>
    </row>
    <row r="861" spans="1:5" ht="14.25" customHeight="1">
      <c r="A861" s="21"/>
      <c r="E861" s="22"/>
    </row>
    <row r="862" spans="1:5" ht="14.25" customHeight="1">
      <c r="A862" s="21"/>
      <c r="E862" s="22"/>
    </row>
    <row r="863" spans="1:5" ht="14.25" customHeight="1">
      <c r="A863" s="21"/>
      <c r="E863" s="22"/>
    </row>
    <row r="864" spans="1:5" ht="14.25" customHeight="1">
      <c r="A864" s="21"/>
      <c r="E864" s="22"/>
    </row>
    <row r="865" spans="1:5" ht="14.25" customHeight="1">
      <c r="A865" s="21"/>
      <c r="E865" s="22"/>
    </row>
    <row r="866" spans="1:5" ht="14.25" customHeight="1">
      <c r="A866" s="21"/>
      <c r="E866" s="22"/>
    </row>
    <row r="867" spans="1:5" ht="14.25" customHeight="1">
      <c r="A867" s="21"/>
      <c r="E867" s="22"/>
    </row>
    <row r="868" spans="1:5" ht="14.25" customHeight="1">
      <c r="A868" s="21"/>
      <c r="E868" s="22"/>
    </row>
    <row r="869" spans="1:5" ht="14.25" customHeight="1">
      <c r="A869" s="21"/>
      <c r="E869" s="22"/>
    </row>
    <row r="870" spans="1:5" ht="14.25" customHeight="1">
      <c r="A870" s="21"/>
      <c r="E870" s="22"/>
    </row>
    <row r="871" spans="1:5" ht="14.25" customHeight="1">
      <c r="A871" s="21"/>
      <c r="E871" s="22"/>
    </row>
    <row r="872" spans="1:5" ht="14.25" customHeight="1">
      <c r="A872" s="21"/>
      <c r="E872" s="22"/>
    </row>
    <row r="873" spans="1:5" ht="14.25" customHeight="1">
      <c r="A873" s="21"/>
      <c r="E873" s="22"/>
    </row>
    <row r="874" spans="1:5" ht="14.25" customHeight="1">
      <c r="A874" s="21"/>
      <c r="E874" s="22"/>
    </row>
    <row r="875" spans="1:5" ht="14.25" customHeight="1">
      <c r="A875" s="21"/>
      <c r="E875" s="22"/>
    </row>
    <row r="876" spans="1:5" ht="14.25" customHeight="1">
      <c r="A876" s="21"/>
      <c r="E876" s="22"/>
    </row>
    <row r="877" spans="1:5" ht="14.25" customHeight="1">
      <c r="A877" s="21"/>
      <c r="E877" s="22"/>
    </row>
    <row r="878" spans="1:5" ht="14.25" customHeight="1">
      <c r="A878" s="21"/>
      <c r="E878" s="22"/>
    </row>
    <row r="879" spans="1:5" ht="14.25" customHeight="1">
      <c r="A879" s="21"/>
      <c r="E879" s="22"/>
    </row>
    <row r="880" spans="1:5" ht="14.25" customHeight="1">
      <c r="A880" s="21"/>
      <c r="E880" s="22"/>
    </row>
    <row r="881" spans="1:5" ht="14.25" customHeight="1">
      <c r="A881" s="21"/>
      <c r="E881" s="22"/>
    </row>
    <row r="882" spans="1:5" ht="14.25" customHeight="1">
      <c r="A882" s="21"/>
      <c r="E882" s="22"/>
    </row>
    <row r="883" spans="1:5" ht="14.25" customHeight="1">
      <c r="A883" s="21"/>
      <c r="E883" s="22"/>
    </row>
    <row r="884" spans="1:5" ht="14.25" customHeight="1">
      <c r="A884" s="21"/>
      <c r="E884" s="22"/>
    </row>
    <row r="885" spans="1:5" ht="14.25" customHeight="1">
      <c r="A885" s="21"/>
      <c r="E885" s="22"/>
    </row>
    <row r="886" spans="1:5" ht="14.25" customHeight="1">
      <c r="A886" s="21"/>
      <c r="E886" s="22"/>
    </row>
    <row r="887" spans="1:5" ht="14.25" customHeight="1">
      <c r="A887" s="21"/>
      <c r="E887" s="22"/>
    </row>
    <row r="888" spans="1:5" ht="14.25" customHeight="1">
      <c r="A888" s="21"/>
      <c r="E888" s="22"/>
    </row>
    <row r="889" spans="1:5" ht="14.25" customHeight="1">
      <c r="A889" s="21"/>
      <c r="E889" s="22"/>
    </row>
    <row r="890" spans="1:5" ht="14.25" customHeight="1">
      <c r="A890" s="21"/>
      <c r="E890" s="22"/>
    </row>
    <row r="891" spans="1:5" ht="14.25" customHeight="1">
      <c r="A891" s="21"/>
      <c r="E891" s="22"/>
    </row>
    <row r="892" spans="1:5" ht="14.25" customHeight="1">
      <c r="A892" s="21"/>
      <c r="E892" s="22"/>
    </row>
    <row r="893" spans="1:5" ht="14.25" customHeight="1">
      <c r="A893" s="21"/>
      <c r="E893" s="22"/>
    </row>
    <row r="894" spans="1:5" ht="14.25" customHeight="1">
      <c r="A894" s="21"/>
      <c r="E894" s="22"/>
    </row>
    <row r="895" spans="1:5" ht="14.25" customHeight="1">
      <c r="A895" s="21"/>
      <c r="E895" s="22"/>
    </row>
    <row r="896" spans="1:5" ht="14.25" customHeight="1">
      <c r="A896" s="21"/>
      <c r="E896" s="22"/>
    </row>
    <row r="897" spans="1:5" ht="14.25" customHeight="1">
      <c r="A897" s="21"/>
      <c r="E897" s="22"/>
    </row>
    <row r="898" spans="1:5" ht="14.25" customHeight="1">
      <c r="A898" s="21"/>
      <c r="E898" s="22"/>
    </row>
    <row r="899" spans="1:5" ht="14.25" customHeight="1">
      <c r="A899" s="21"/>
      <c r="E899" s="22"/>
    </row>
    <row r="900" spans="1:5" ht="14.25" customHeight="1">
      <c r="A900" s="21"/>
      <c r="E900" s="22"/>
    </row>
    <row r="901" spans="1:5" ht="14.25" customHeight="1">
      <c r="A901" s="21"/>
      <c r="E901" s="22"/>
    </row>
    <row r="902" spans="1:5" ht="14.25" customHeight="1">
      <c r="A902" s="21"/>
      <c r="E902" s="22"/>
    </row>
    <row r="903" spans="1:5" ht="14.25" customHeight="1">
      <c r="A903" s="21"/>
      <c r="E903" s="22"/>
    </row>
    <row r="904" spans="1:5" ht="14.25" customHeight="1">
      <c r="A904" s="21"/>
      <c r="E904" s="22"/>
    </row>
    <row r="905" spans="1:5" ht="14.25" customHeight="1">
      <c r="A905" s="21"/>
      <c r="E905" s="22"/>
    </row>
    <row r="906" spans="1:5" ht="14.25" customHeight="1">
      <c r="A906" s="21"/>
      <c r="E906" s="22"/>
    </row>
    <row r="907" spans="1:5" ht="14.25" customHeight="1">
      <c r="A907" s="21"/>
      <c r="E907" s="22"/>
    </row>
    <row r="908" spans="1:5" ht="14.25" customHeight="1">
      <c r="A908" s="21"/>
      <c r="E908" s="22"/>
    </row>
    <row r="909" spans="1:5" ht="14.25" customHeight="1">
      <c r="A909" s="21"/>
      <c r="E909" s="22"/>
    </row>
    <row r="910" spans="1:5" ht="14.25" customHeight="1">
      <c r="A910" s="21"/>
      <c r="E910" s="22"/>
    </row>
    <row r="911" spans="1:5" ht="14.25" customHeight="1">
      <c r="A911" s="21"/>
      <c r="E911" s="22"/>
    </row>
    <row r="912" spans="1:5" ht="14.25" customHeight="1">
      <c r="A912" s="21"/>
      <c r="E912" s="22"/>
    </row>
    <row r="913" spans="1:5" ht="14.25" customHeight="1">
      <c r="A913" s="21"/>
      <c r="E913" s="22"/>
    </row>
    <row r="914" spans="1:5" ht="14.25" customHeight="1">
      <c r="A914" s="21"/>
      <c r="E914" s="22"/>
    </row>
    <row r="915" spans="1:5" ht="14.25" customHeight="1">
      <c r="A915" s="21"/>
      <c r="E915" s="22"/>
    </row>
    <row r="916" spans="1:5" ht="14.25" customHeight="1">
      <c r="A916" s="21"/>
      <c r="E916" s="22"/>
    </row>
    <row r="917" spans="1:5" ht="14.25" customHeight="1">
      <c r="A917" s="21"/>
      <c r="E917" s="22"/>
    </row>
    <row r="918" spans="1:5" ht="14.25" customHeight="1">
      <c r="A918" s="21"/>
      <c r="E918" s="22"/>
    </row>
    <row r="919" spans="1:5" ht="14.25" customHeight="1">
      <c r="A919" s="21"/>
      <c r="E919" s="22"/>
    </row>
    <row r="920" spans="1:5" ht="14.25" customHeight="1">
      <c r="A920" s="21"/>
      <c r="E920" s="22"/>
    </row>
    <row r="921" spans="1:5" ht="14.25" customHeight="1">
      <c r="A921" s="21"/>
      <c r="E921" s="22"/>
    </row>
    <row r="922" spans="1:5" ht="14.25" customHeight="1">
      <c r="A922" s="21"/>
      <c r="E922" s="22"/>
    </row>
    <row r="923" spans="1:5" ht="14.25" customHeight="1">
      <c r="A923" s="21"/>
      <c r="E923" s="22"/>
    </row>
    <row r="924" spans="1:5" ht="14.25" customHeight="1">
      <c r="A924" s="21"/>
      <c r="E924" s="22"/>
    </row>
    <row r="925" spans="1:5" ht="14.25" customHeight="1">
      <c r="A925" s="21"/>
      <c r="E925" s="22"/>
    </row>
    <row r="926" spans="1:5" ht="14.25" customHeight="1">
      <c r="A926" s="21"/>
      <c r="E926" s="22"/>
    </row>
    <row r="927" spans="1:5" ht="14.25" customHeight="1">
      <c r="A927" s="21"/>
      <c r="E927" s="22"/>
    </row>
    <row r="928" spans="1:5" ht="14.25" customHeight="1">
      <c r="A928" s="21"/>
      <c r="E928" s="22"/>
    </row>
    <row r="929" spans="1:5" ht="14.25" customHeight="1">
      <c r="A929" s="21"/>
      <c r="E929" s="22"/>
    </row>
    <row r="930" spans="1:5" ht="14.25" customHeight="1">
      <c r="A930" s="21"/>
      <c r="E930" s="22"/>
    </row>
    <row r="931" spans="1:5" ht="14.25" customHeight="1">
      <c r="A931" s="21"/>
      <c r="E931" s="22"/>
    </row>
    <row r="932" spans="1:5" ht="14.25" customHeight="1">
      <c r="A932" s="21"/>
      <c r="E932" s="22"/>
    </row>
    <row r="933" spans="1:5" ht="14.25" customHeight="1">
      <c r="A933" s="21"/>
      <c r="E933" s="22"/>
    </row>
    <row r="934" spans="1:5" ht="14.25" customHeight="1">
      <c r="A934" s="21"/>
      <c r="E934" s="22"/>
    </row>
    <row r="935" spans="1:5" ht="14.25" customHeight="1">
      <c r="A935" s="21"/>
      <c r="E935" s="22"/>
    </row>
    <row r="936" spans="1:5" ht="14.25" customHeight="1">
      <c r="A936" s="21"/>
      <c r="E936" s="22"/>
    </row>
    <row r="937" spans="1:5" ht="14.25" customHeight="1">
      <c r="A937" s="21"/>
      <c r="E937" s="22"/>
    </row>
    <row r="938" spans="1:5" ht="14.25" customHeight="1">
      <c r="A938" s="21"/>
      <c r="E938" s="22"/>
    </row>
    <row r="939" spans="1:5" ht="14.25" customHeight="1">
      <c r="A939" s="21"/>
      <c r="E939" s="22"/>
    </row>
    <row r="940" spans="1:5" ht="14.25" customHeight="1">
      <c r="A940" s="21"/>
      <c r="E940" s="22"/>
    </row>
    <row r="941" spans="1:5" ht="14.25" customHeight="1">
      <c r="A941" s="21"/>
      <c r="E941" s="22"/>
    </row>
    <row r="942" spans="1:5" ht="14.25" customHeight="1">
      <c r="A942" s="21"/>
      <c r="E942" s="22"/>
    </row>
    <row r="943" spans="1:5" ht="14.25" customHeight="1">
      <c r="A943" s="21"/>
      <c r="E943" s="22"/>
    </row>
    <row r="944" spans="1:5" ht="14.25" customHeight="1">
      <c r="A944" s="21"/>
      <c r="E944" s="22"/>
    </row>
    <row r="945" spans="1:5" ht="14.25" customHeight="1">
      <c r="A945" s="21"/>
      <c r="E945" s="22"/>
    </row>
    <row r="946" spans="1:5" ht="14.25" customHeight="1">
      <c r="A946" s="21"/>
      <c r="E946" s="22"/>
    </row>
    <row r="947" spans="1:5" ht="14.25" customHeight="1">
      <c r="A947" s="21"/>
      <c r="E947" s="22"/>
    </row>
    <row r="948" spans="1:5" ht="14.25" customHeight="1">
      <c r="A948" s="21"/>
      <c r="E948" s="22"/>
    </row>
    <row r="949" spans="1:5" ht="14.25" customHeight="1">
      <c r="A949" s="21"/>
      <c r="E949" s="22"/>
    </row>
    <row r="950" spans="1:5" ht="14.25" customHeight="1">
      <c r="A950" s="21"/>
      <c r="E950" s="22"/>
    </row>
    <row r="951" spans="1:5" ht="14.25" customHeight="1">
      <c r="A951" s="21"/>
      <c r="E951" s="22"/>
    </row>
    <row r="952" spans="1:5" ht="14.25" customHeight="1">
      <c r="A952" s="21"/>
      <c r="E952" s="22"/>
    </row>
    <row r="953" spans="1:5" ht="14.25" customHeight="1">
      <c r="A953" s="21"/>
      <c r="E953" s="22"/>
    </row>
    <row r="954" spans="1:5" ht="14.25" customHeight="1">
      <c r="A954" s="21"/>
      <c r="E954" s="22"/>
    </row>
    <row r="955" spans="1:5" ht="14.25" customHeight="1">
      <c r="A955" s="21"/>
      <c r="E955" s="22"/>
    </row>
    <row r="956" spans="1:5" ht="14.25" customHeight="1">
      <c r="A956" s="21"/>
      <c r="E956" s="22"/>
    </row>
    <row r="957" spans="1:5" ht="14.25" customHeight="1">
      <c r="A957" s="21"/>
      <c r="E957" s="22"/>
    </row>
    <row r="958" spans="1:5" ht="14.25" customHeight="1">
      <c r="A958" s="21"/>
      <c r="E958" s="22"/>
    </row>
    <row r="959" spans="1:5" ht="14.25" customHeight="1">
      <c r="A959" s="21"/>
      <c r="E959" s="22"/>
    </row>
    <row r="960" spans="1:5" ht="14.25" customHeight="1">
      <c r="A960" s="21"/>
      <c r="E960" s="22"/>
    </row>
    <row r="961" spans="1:5" ht="14.25" customHeight="1">
      <c r="A961" s="21"/>
      <c r="E961" s="22"/>
    </row>
    <row r="962" spans="1:5" ht="14.25" customHeight="1">
      <c r="A962" s="21"/>
      <c r="E962" s="22"/>
    </row>
    <row r="963" spans="1:5" ht="14.25" customHeight="1">
      <c r="A963" s="21"/>
      <c r="E963" s="22"/>
    </row>
    <row r="964" spans="1:5" ht="14.25" customHeight="1">
      <c r="A964" s="21"/>
      <c r="E964" s="22"/>
    </row>
    <row r="965" spans="1:5" ht="14.25" customHeight="1">
      <c r="A965" s="21"/>
      <c r="E965" s="22"/>
    </row>
    <row r="966" spans="1:5" ht="14.25" customHeight="1">
      <c r="A966" s="21"/>
      <c r="E966" s="22"/>
    </row>
    <row r="967" spans="1:5" ht="14.25" customHeight="1">
      <c r="A967" s="21"/>
      <c r="E967" s="22"/>
    </row>
    <row r="968" spans="1:5" ht="14.25" customHeight="1">
      <c r="A968" s="21"/>
      <c r="E968" s="22"/>
    </row>
    <row r="969" spans="1:5" ht="14.25" customHeight="1">
      <c r="A969" s="21"/>
      <c r="E969" s="22"/>
    </row>
    <row r="970" spans="1:5" ht="14.25" customHeight="1">
      <c r="A970" s="21"/>
      <c r="E970" s="22"/>
    </row>
    <row r="971" spans="1:5" ht="14.25" customHeight="1">
      <c r="A971" s="21"/>
      <c r="E971" s="22"/>
    </row>
    <row r="972" spans="1:5" ht="14.25" customHeight="1">
      <c r="A972" s="21"/>
      <c r="E972" s="22"/>
    </row>
    <row r="973" spans="1:5" ht="14.25" customHeight="1">
      <c r="A973" s="21"/>
      <c r="E973" s="22"/>
    </row>
    <row r="974" spans="1:5" ht="14.25" customHeight="1">
      <c r="A974" s="21"/>
      <c r="E974" s="22"/>
    </row>
    <row r="975" spans="1:5" ht="14.25" customHeight="1">
      <c r="A975" s="21"/>
      <c r="E975" s="22"/>
    </row>
    <row r="976" spans="1:5" ht="14.25" customHeight="1">
      <c r="A976" s="21"/>
      <c r="E976" s="22"/>
    </row>
    <row r="977" spans="1:5" ht="14.25" customHeight="1">
      <c r="A977" s="21"/>
      <c r="E977" s="22"/>
    </row>
    <row r="978" spans="1:5" ht="14.25" customHeight="1">
      <c r="A978" s="21"/>
      <c r="E978" s="22"/>
    </row>
    <row r="979" spans="1:5" ht="14.25" customHeight="1">
      <c r="A979" s="21"/>
      <c r="E979" s="22"/>
    </row>
    <row r="980" spans="1:5" ht="14.25" customHeight="1">
      <c r="A980" s="21"/>
      <c r="E980" s="22"/>
    </row>
    <row r="981" spans="1:5" ht="14.25" customHeight="1">
      <c r="A981" s="21"/>
      <c r="E981" s="22"/>
    </row>
    <row r="982" spans="1:5" ht="14.25" customHeight="1">
      <c r="A982" s="21"/>
      <c r="E982" s="22"/>
    </row>
    <row r="983" spans="1:5" ht="14.25" customHeight="1">
      <c r="A983" s="21"/>
      <c r="E983" s="22"/>
    </row>
    <row r="984" spans="1:5" ht="14.25" customHeight="1">
      <c r="A984" s="21"/>
      <c r="E984" s="22"/>
    </row>
    <row r="985" spans="1:5" ht="14.25" customHeight="1">
      <c r="A985" s="21"/>
      <c r="E985" s="22"/>
    </row>
    <row r="986" spans="1:5" ht="14.25" customHeight="1">
      <c r="A986" s="21"/>
      <c r="E986" s="22"/>
    </row>
    <row r="987" spans="1:5" ht="14.25" customHeight="1">
      <c r="A987" s="21"/>
      <c r="E987" s="22"/>
    </row>
    <row r="988" spans="1:5" ht="14.25" customHeight="1">
      <c r="A988" s="21"/>
      <c r="E988" s="22"/>
    </row>
    <row r="989" spans="1:5" ht="14.25" customHeight="1">
      <c r="A989" s="21"/>
      <c r="E989" s="22"/>
    </row>
    <row r="990" spans="1:5" ht="14.25" customHeight="1">
      <c r="A990" s="21"/>
      <c r="E990" s="22"/>
    </row>
    <row r="991" spans="1:5" ht="14.25" customHeight="1">
      <c r="A991" s="21"/>
      <c r="E991" s="22"/>
    </row>
    <row r="992" spans="1:5" ht="14.25" customHeight="1">
      <c r="A992" s="21"/>
      <c r="E992" s="22"/>
    </row>
    <row r="993" spans="1:5" ht="14.25" customHeight="1">
      <c r="A993" s="21"/>
      <c r="E993" s="22"/>
    </row>
    <row r="994" spans="1:5" ht="14.25" customHeight="1">
      <c r="A994" s="21"/>
      <c r="E994" s="22"/>
    </row>
    <row r="995" spans="1:5" ht="14.25" customHeight="1">
      <c r="A995" s="21"/>
      <c r="E995" s="22"/>
    </row>
    <row r="996" spans="1:5" ht="14.25" customHeight="1">
      <c r="A996" s="21"/>
      <c r="E996" s="22"/>
    </row>
    <row r="997" spans="1:5" ht="14.25" customHeight="1">
      <c r="A997" s="21"/>
      <c r="E997" s="22"/>
    </row>
    <row r="998" spans="1:5" ht="14.25" customHeight="1">
      <c r="A998" s="21"/>
      <c r="E998" s="22"/>
    </row>
    <row r="999" spans="1:5" ht="14.25" customHeight="1">
      <c r="A999" s="21"/>
      <c r="E999" s="22"/>
    </row>
    <row r="1000" spans="1:5" ht="14.25" customHeight="1">
      <c r="A1000" s="21"/>
      <c r="E1000" s="2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00"/>
  <sheetViews>
    <sheetView workbookViewId="0"/>
  </sheetViews>
  <sheetFormatPr baseColWidth="10" defaultColWidth="12.6328125" defaultRowHeight="15" customHeight="1"/>
  <cols>
    <col min="1" max="1" width="13.36328125" customWidth="1"/>
    <col min="2" max="2" width="9.26953125" customWidth="1"/>
    <col min="3" max="3" width="18.26953125" customWidth="1"/>
    <col min="4" max="4" width="18.453125" customWidth="1"/>
    <col min="5" max="7" width="17.453125" customWidth="1"/>
    <col min="8" max="8" width="20.36328125" customWidth="1"/>
    <col min="9" max="9" width="38.7265625" customWidth="1"/>
    <col min="10" max="10" width="18.90625" customWidth="1"/>
    <col min="11" max="11" width="11.26953125" customWidth="1"/>
    <col min="12" max="12" width="12" customWidth="1"/>
    <col min="13" max="14" width="17.453125" customWidth="1"/>
    <col min="15" max="17" width="6.90625" customWidth="1"/>
    <col min="18" max="18" width="11.36328125" customWidth="1"/>
    <col min="19" max="19" width="10.6328125" customWidth="1"/>
    <col min="20" max="20" width="12.7265625" customWidth="1"/>
    <col min="21" max="22" width="16.08984375" customWidth="1"/>
    <col min="23" max="23" width="27" customWidth="1"/>
    <col min="24" max="24" width="14.90625" customWidth="1"/>
  </cols>
  <sheetData>
    <row r="1" spans="1:24" ht="14.25" customHeight="1">
      <c r="A1" s="1" t="s">
        <v>1</v>
      </c>
      <c r="B1" s="1" t="s">
        <v>37</v>
      </c>
      <c r="C1" s="2" t="s">
        <v>3</v>
      </c>
      <c r="D1" s="2" t="s">
        <v>38</v>
      </c>
      <c r="E1" s="2" t="s">
        <v>39</v>
      </c>
      <c r="F1" s="1" t="s">
        <v>40</v>
      </c>
      <c r="G1" s="1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 t="s">
        <v>51</v>
      </c>
      <c r="R1" s="2" t="s">
        <v>52</v>
      </c>
      <c r="S1" s="2" t="s">
        <v>53</v>
      </c>
      <c r="T1" s="2" t="s">
        <v>54</v>
      </c>
      <c r="U1" s="1" t="s">
        <v>55</v>
      </c>
      <c r="V1" s="2" t="s">
        <v>56</v>
      </c>
      <c r="W1" s="1" t="s">
        <v>57</v>
      </c>
      <c r="X1" s="2" t="s">
        <v>58</v>
      </c>
    </row>
    <row r="2" spans="1:24" ht="14.25" customHeight="1">
      <c r="A2" s="23" t="str">
        <f>+COMPRAS!A2</f>
        <v>I1</v>
      </c>
      <c r="B2" s="23"/>
      <c r="C2" s="23" t="str">
        <f>+VLOOKUP($A2,COMPRAS!$A$2:$D$17,3,0)</f>
        <v>LIGHT OIL</v>
      </c>
      <c r="D2" s="23" t="str">
        <f>+VLOOKUP($A2,COMPRAS!$A$2:$D$17,2,0)</f>
        <v>I1-GUNVOR Mediano-LIGHT OIL-100-MBBL-MUSD$7</v>
      </c>
      <c r="E2" s="24">
        <f>VLOOKUP(A2,COMPRAS!$A$2:$F$22,6,0)</f>
        <v>100000</v>
      </c>
      <c r="F2" s="24">
        <f>VLOOKUP(A2, COMPRAS!$A$2:$N$21, 11, FALSE)</f>
        <v>32</v>
      </c>
      <c r="G2" s="25">
        <f>VLOOKUP(A2, COMPRAS!$A$2:$N$21, 14, FALSE)</f>
        <v>7.274</v>
      </c>
      <c r="H2" s="26" t="s">
        <v>59</v>
      </c>
      <c r="I2" s="27" t="s">
        <v>60</v>
      </c>
      <c r="J2" s="28">
        <f ca="1">IFERROR(__xludf.DUMMYFUNCTION("IFERROR(SUM(FILTER(PuertosLlegada!$E$2:$E$18, REGEXMATCH(PuertosLlegada!$C$2:$C$18, TEXTJOIN(""|"", TRUE, SPLIT(LLEGADA!I2, "", ""))))),0)"),248000)</f>
        <v>248000</v>
      </c>
      <c r="K2" s="29">
        <f t="shared" ref="K2:K17" ca="1" si="0">IFERROR(IF((E2/J2)&gt;0&lt;1,1,(E2/J2)),0)</f>
        <v>0.40322580645161288</v>
      </c>
      <c r="L2" s="30">
        <f ca="1">IFERROR(IF(OR(H2="SPD",J2=0),0,E2/SUMIF(PuertosLlegada!$C$2:$C$18,"TK-109_25K",PuertosLlegada!$E$2:$E$18)),0)</f>
        <v>4</v>
      </c>
      <c r="M2" s="31">
        <f t="shared" ref="M2:M9" ca="1" si="1">IFERROR((MIN(1,K2)*J2*O2)+(IF(K2-1&lt;0,0,MIN(K2-1,2))*J2*P2)+(IF(K2-2&lt;0,0,K2-2)*J2*Q2),0)</f>
        <v>150000</v>
      </c>
      <c r="N2" s="31">
        <f t="shared" ref="N2:N17" ca="1" si="2">(MIN(1,L2)*0.75*25000)+IF(L2&gt;1,(MIN(2,L2-1)-1)*0.6*25000,0)+IF(L2&gt;2,(L2-2)*25000*0.48,0)</f>
        <v>57750</v>
      </c>
      <c r="O2" s="29">
        <f>IFERROR(VLOOKUP($H2,PuertosLlegada!$B$2:$K$18,5,0),0)</f>
        <v>1.5</v>
      </c>
      <c r="P2" s="29">
        <f>IFERROR(VLOOKUP($H2,PuertosLlegada!$B$2:$K$18,6,0),0)</f>
        <v>0.8</v>
      </c>
      <c r="Q2" s="29">
        <f>IFERROR(VLOOKUP($H2,PuertosLlegada!$B$2:$K$18,7,0),0)</f>
        <v>0.8</v>
      </c>
      <c r="R2" s="31">
        <f t="shared" ref="R2:R17" si="3">IFERROR((E2/G2)*(T2),0)</f>
        <v>54990.376684080285</v>
      </c>
      <c r="S2" s="31">
        <f ca="1">IF(L2=0,0,VLOOKUP("SPD",PuertosLlegada!$B$2:$K$18,8,0)*E2/G2)</f>
        <v>63238.933186692324</v>
      </c>
      <c r="T2" s="29">
        <f>IFERROR(VLOOKUP($H2,PuertosLlegada!$B$2:$K$18,8,0),0)</f>
        <v>4</v>
      </c>
      <c r="U2" s="30">
        <f t="shared" ref="U2:U17" si="4">IF(H2="PETROMIL",0.9*E2,0)</f>
        <v>0</v>
      </c>
      <c r="V2" s="32">
        <f>IFERROR(VLOOKUP($H2,PuertosLlegada!$B$2:$K$18,10,0),0)</f>
        <v>0</v>
      </c>
      <c r="W2" s="11">
        <f>IFERROR(VLOOKUP(H2,PuertosLlegada!$B$2:$N$18,13,0)*E2,0)*IF(U2&gt;0,0,1)</f>
        <v>184390.24390243902</v>
      </c>
      <c r="X2" s="33">
        <f t="shared" ref="X2:X17" si="5">IFERROR(E2*IF(W2=0,0,0.035),0)</f>
        <v>3500.0000000000005</v>
      </c>
    </row>
    <row r="3" spans="1:24" ht="14.25" customHeight="1">
      <c r="A3" s="23" t="str">
        <f>+COMPRAS!A3</f>
        <v>I2</v>
      </c>
      <c r="B3" s="23"/>
      <c r="C3" s="23" t="str">
        <f>+VLOOKUP(A3,COMPRAS!$A$2:$D$17,3,0)</f>
        <v>LIGHT OIL</v>
      </c>
      <c r="D3" s="23" t="str">
        <f>+VLOOKUP($A3,COMPRAS!$A$2:$D$17,2,0)</f>
        <v>I2-GUNVOR Mediano-LIGHT OIL-100-MBBL-MUSD$7</v>
      </c>
      <c r="E3" s="24">
        <f>VLOOKUP(A3,COMPRAS!$A$2:$F$22,6,0)</f>
        <v>100000</v>
      </c>
      <c r="F3" s="24">
        <f>VLOOKUP(A3, COMPRAS!$A$2:$N$21, 11, FALSE)</f>
        <v>32</v>
      </c>
      <c r="G3" s="25">
        <f>VLOOKUP(A3, COMPRAS!$A$2:$N$21, 14, FALSE)</f>
        <v>7.274</v>
      </c>
      <c r="H3" s="34" t="s">
        <v>61</v>
      </c>
      <c r="I3" s="27" t="s">
        <v>62</v>
      </c>
      <c r="J3" s="28">
        <f ca="1">IFERROR(__xludf.DUMMYFUNCTION("IFERROR(SUM(FILTER(PuertosLlegada!$E$2:$E$18, REGEXMATCH(PuertosLlegada!$C$2:$C$18, TEXTJOIN(""|"", TRUE, SPLIT(LLEGADA!I3, "", ""))))),0)"),300000)</f>
        <v>300000</v>
      </c>
      <c r="K3" s="29">
        <f t="shared" ca="1" si="0"/>
        <v>0.33333333333333331</v>
      </c>
      <c r="L3" s="30">
        <f ca="1">IFERROR(IF(OR(H3="SPD",J3=0),0,E3/SUMIF(PuertosLlegada!$C$2:$C$18,"TK-109_25K",PuertosLlegada!$E$2:$E$18)),0)</f>
        <v>4</v>
      </c>
      <c r="M3" s="31">
        <f t="shared" ca="1" si="1"/>
        <v>130000</v>
      </c>
      <c r="N3" s="31">
        <f t="shared" ca="1" si="2"/>
        <v>57750</v>
      </c>
      <c r="O3" s="29">
        <f>IFERROR(VLOOKUP($H3,PuertosLlegada!$B$2:$K$18,5,0),0)</f>
        <v>1.3</v>
      </c>
      <c r="P3" s="29">
        <f>IFERROR(VLOOKUP($H3,PuertosLlegada!$B$2:$K$18,6,0),0)</f>
        <v>0.8</v>
      </c>
      <c r="Q3" s="29">
        <f>IFERROR(VLOOKUP($H3,PuertosLlegada!$B$2:$K$18,7,0),0)</f>
        <v>0.8</v>
      </c>
      <c r="R3" s="31">
        <f t="shared" si="3"/>
        <v>48116.57959857025</v>
      </c>
      <c r="S3" s="31">
        <f ca="1">IF(L3=0,0,VLOOKUP("SPD",PuertosLlegada!$B$2:$K$18,8,0)*E3/G3)</f>
        <v>63238.933186692324</v>
      </c>
      <c r="T3" s="29">
        <f>IFERROR(VLOOKUP($H3,PuertosLlegada!$B$2:$K$18,8,0),0)</f>
        <v>3.5</v>
      </c>
      <c r="U3" s="30">
        <f t="shared" si="4"/>
        <v>0</v>
      </c>
      <c r="V3" s="32">
        <f>IFERROR(VLOOKUP($H3,PuertosLlegada!$B$2:$K$18,10,0),0)</f>
        <v>0</v>
      </c>
      <c r="W3" s="11">
        <f>IFERROR(VLOOKUP(H3,PuertosLlegada!$B$2:$N$18,13,0)*E3,0)*IF(U3&gt;0,0,1)</f>
        <v>81951.219512195123</v>
      </c>
      <c r="X3" s="33">
        <f t="shared" si="5"/>
        <v>3500.0000000000005</v>
      </c>
    </row>
    <row r="4" spans="1:24" ht="14.25" customHeight="1">
      <c r="A4" s="23" t="str">
        <f>+COMPRAS!A4</f>
        <v>E1</v>
      </c>
      <c r="B4" s="23"/>
      <c r="C4" s="23" t="str">
        <f>+VLOOKUP(A4,COMPRAS!$A$2:$D$17,3,0)</f>
        <v>FUEL OIL</v>
      </c>
      <c r="D4" s="23" t="str">
        <f>+VLOOKUP($A4,COMPRAS!$A$2:$D$17,2,0)</f>
        <v>E1-Ecopetrol (Exportación-Flete asumido cliente)-FUEL OIL-100-MBBL-MUSD$7</v>
      </c>
      <c r="E4" s="24">
        <f>VLOOKUP(A4,COMPRAS!$A$2:$F$22,6,0)</f>
        <v>100000</v>
      </c>
      <c r="F4" s="24">
        <f>VLOOKUP(A4, COMPRAS!$A$2:$N$21, 11, FALSE)</f>
        <v>16</v>
      </c>
      <c r="G4" s="25">
        <f>VLOOKUP(A4, COMPRAS!$A$2:$N$21, 14, FALSE)</f>
        <v>6.5620000000000003</v>
      </c>
      <c r="H4" s="34" t="s">
        <v>63</v>
      </c>
      <c r="I4" s="27"/>
      <c r="J4" s="28">
        <f ca="1">IFERROR(__xludf.DUMMYFUNCTION("IFERROR(SUM(FILTER(PuertosLlegada!$E$2:$E$18, REGEXMATCH(PuertosLlegada!$C$2:$C$18, TEXTJOIN(""|"", TRUE, SPLIT(LLEGADA!I4, "", ""))))),0)"),0)</f>
        <v>0</v>
      </c>
      <c r="K4" s="29">
        <f t="shared" ca="1" si="0"/>
        <v>0</v>
      </c>
      <c r="L4" s="30">
        <f ca="1">IFERROR(IF(OR(H4="SPD",J4=0),0,E4/SUMIF(PuertosLlegada!$C$2:$C$18,"TK-109_25K",PuertosLlegada!$E$2:$E$18)),0)</f>
        <v>0</v>
      </c>
      <c r="M4" s="31">
        <f t="shared" ca="1" si="1"/>
        <v>0</v>
      </c>
      <c r="N4" s="31">
        <f t="shared" ca="1" si="2"/>
        <v>0</v>
      </c>
      <c r="O4" s="29">
        <f>IFERROR(VLOOKUP($H4,PuertosLlegada!$B$2:$K$18,5,0),0)</f>
        <v>0</v>
      </c>
      <c r="P4" s="29">
        <f>IFERROR(VLOOKUP($H4,PuertosLlegada!$B$2:$K$18,6,0),0)</f>
        <v>0</v>
      </c>
      <c r="Q4" s="29">
        <f>IFERROR(VLOOKUP($H4,PuertosLlegada!$B$2:$K$18,7,0),0)</f>
        <v>0</v>
      </c>
      <c r="R4" s="31">
        <f t="shared" si="3"/>
        <v>0</v>
      </c>
      <c r="S4" s="31">
        <f ca="1">IF(L4=0,0,VLOOKUP("SPD",PuertosLlegada!$B$2:$K$18,8,0)*E4/G4)</f>
        <v>0</v>
      </c>
      <c r="T4" s="29">
        <f>IFERROR(VLOOKUP($H4,PuertosLlegada!$B$2:$K$18,8,0),0)</f>
        <v>0</v>
      </c>
      <c r="U4" s="30">
        <f t="shared" si="4"/>
        <v>0</v>
      </c>
      <c r="V4" s="32">
        <f>IFERROR(VLOOKUP($H4,PuertosLlegada!$B$2:$K$18,10,0),0)</f>
        <v>0</v>
      </c>
      <c r="W4" s="11">
        <f>IFERROR(VLOOKUP(H4,PuertosLlegada!$B$2:$N$18,13,0)*E4,0)*IF(U4&gt;0,0,1)</f>
        <v>0</v>
      </c>
      <c r="X4" s="33">
        <f t="shared" si="5"/>
        <v>0</v>
      </c>
    </row>
    <row r="5" spans="1:24" ht="14.25" customHeight="1">
      <c r="A5" s="23" t="str">
        <f>+COMPRAS!A5</f>
        <v>I3</v>
      </c>
      <c r="B5" s="23"/>
      <c r="C5" s="23" t="str">
        <f>+VLOOKUP(A5,COMPRAS!$A$2:$D$17,3,0)</f>
        <v>LIGHT OIL</v>
      </c>
      <c r="D5" s="23" t="str">
        <f>+VLOOKUP($A5,COMPRAS!$A$2:$D$17,2,0)</f>
        <v>I3-GUNVOR Mediano-LIGHT OIL-100-MBBL-MUSD$7</v>
      </c>
      <c r="E5" s="24">
        <f>VLOOKUP(A5,COMPRAS!$A$2:$F$22,6,0)</f>
        <v>100000</v>
      </c>
      <c r="F5" s="24">
        <f>VLOOKUP(A5, COMPRAS!$A$2:$N$21, 11, FALSE)</f>
        <v>32</v>
      </c>
      <c r="G5" s="25">
        <f>VLOOKUP(A5, COMPRAS!$A$2:$N$21, 14, FALSE)</f>
        <v>7.274</v>
      </c>
      <c r="H5" s="34" t="s">
        <v>64</v>
      </c>
      <c r="I5" s="27" t="s">
        <v>65</v>
      </c>
      <c r="J5" s="28">
        <f ca="1">IFERROR(__xludf.DUMMYFUNCTION("IFERROR(SUM(FILTER(PuertosLlegada!$E$2:$E$18, REGEXMATCH(PuertosLlegada!$C$2:$C$18, TEXTJOIN(""|"", TRUE, SPLIT(LLEGADA!I5, "", ""))))),0)"),25000)</f>
        <v>25000</v>
      </c>
      <c r="K5" s="29">
        <f t="shared" ca="1" si="0"/>
        <v>4</v>
      </c>
      <c r="L5" s="30">
        <f ca="1">IFERROR(IF(OR(H5="SPD",J5=0),0,E5/SUMIF(PuertosLlegada!$C$2:$C$18,"TK-109_25K",PuertosLlegada!$E$2:$E$18)),0)</f>
        <v>0</v>
      </c>
      <c r="M5" s="31">
        <f t="shared" ca="1" si="1"/>
        <v>72750</v>
      </c>
      <c r="N5" s="31">
        <f t="shared" ca="1" si="2"/>
        <v>0</v>
      </c>
      <c r="O5" s="29">
        <f>IFERROR(VLOOKUP($H5,PuertosLlegada!$B$2:$K$18,5,0),0)</f>
        <v>0.75</v>
      </c>
      <c r="P5" s="29">
        <f>IFERROR(VLOOKUP($H5,PuertosLlegada!$B$2:$K$18,6,0),0)</f>
        <v>0.6</v>
      </c>
      <c r="Q5" s="29">
        <f>IFERROR(VLOOKUP($H5,PuertosLlegada!$B$2:$K$18,7,0),0)</f>
        <v>0.48</v>
      </c>
      <c r="R5" s="31">
        <f t="shared" si="3"/>
        <v>63238.933186692324</v>
      </c>
      <c r="S5" s="31">
        <f ca="1">IF(L5=0,0,VLOOKUP("SPD",PuertosLlegada!$B$2:$K$18,8,0)*E5/G5)</f>
        <v>0</v>
      </c>
      <c r="T5" s="29">
        <f>IFERROR(VLOOKUP($H5,PuertosLlegada!$B$2:$K$18,8,0),0)</f>
        <v>4.5999999999999996</v>
      </c>
      <c r="U5" s="30">
        <f t="shared" si="4"/>
        <v>0</v>
      </c>
      <c r="V5" s="32">
        <f>IFERROR(VLOOKUP($H5,PuertosLlegada!$B$2:$K$18,10,0),0)</f>
        <v>3.5000000000000003E-2</v>
      </c>
      <c r="W5" s="11">
        <f>IFERROR(VLOOKUP(H5,PuertosLlegada!$B$2:$N$18,13,0)*E5,0)*IF(U5&gt;0,0,1)</f>
        <v>0</v>
      </c>
      <c r="X5" s="33">
        <f t="shared" si="5"/>
        <v>0</v>
      </c>
    </row>
    <row r="6" spans="1:24" ht="14.25" customHeight="1">
      <c r="A6" s="23" t="str">
        <f>+COMPRAS!A6</f>
        <v>I4</v>
      </c>
      <c r="B6" s="23"/>
      <c r="C6" s="23" t="str">
        <f>+VLOOKUP(A6,COMPRAS!$A$2:$D$17,3,0)</f>
        <v>LIGHT OIL</v>
      </c>
      <c r="D6" s="23" t="str">
        <f>+VLOOKUP($A6,COMPRAS!$A$2:$D$17,2,0)</f>
        <v>I4-GUNVOR Mediano-LIGHT OIL-100-MBBL-MUSD$7</v>
      </c>
      <c r="E6" s="24">
        <f>VLOOKUP(A6,COMPRAS!$A$2:$F$22,6,0)</f>
        <v>100000</v>
      </c>
      <c r="F6" s="24">
        <f>VLOOKUP(A6, COMPRAS!$A$2:$N$21, 11, FALSE)</f>
        <v>32</v>
      </c>
      <c r="G6" s="25">
        <f>VLOOKUP(A6, COMPRAS!$A$2:$N$21, 14, FALSE)</f>
        <v>7.274</v>
      </c>
      <c r="H6" s="34" t="s">
        <v>66</v>
      </c>
      <c r="I6" s="27" t="s">
        <v>67</v>
      </c>
      <c r="J6" s="28">
        <f ca="1">IFERROR(__xludf.DUMMYFUNCTION("IFERROR(SUM(FILTER(PuertosLlegada!$E$2:$E$18, REGEXMATCH(PuertosLlegada!$C$2:$C$18, TEXTJOIN(""|"", TRUE, SPLIT(LLEGADA!I6, "", ""))))),0)"),168000)</f>
        <v>168000</v>
      </c>
      <c r="K6" s="29">
        <f t="shared" ca="1" si="0"/>
        <v>0.59523809523809523</v>
      </c>
      <c r="L6" s="30">
        <f ca="1">IFERROR(IF(OR(H6="SPD",J6=0),0,E6/SUMIF(PuertosLlegada!$C$2:$C$18,"TK-109_25K",PuertosLlegada!$E$2:$E$18)),0)</f>
        <v>4</v>
      </c>
      <c r="M6" s="31">
        <f t="shared" ca="1" si="1"/>
        <v>175000</v>
      </c>
      <c r="N6" s="31">
        <f t="shared" ca="1" si="2"/>
        <v>57750</v>
      </c>
      <c r="O6" s="29">
        <f>IFERROR(VLOOKUP($H6,PuertosLlegada!$B$2:$K$18,5,0),0)</f>
        <v>1.75</v>
      </c>
      <c r="P6" s="29">
        <f>IFERROR(VLOOKUP($H6,PuertosLlegada!$B$2:$K$18,6,0),0)</f>
        <v>0.8</v>
      </c>
      <c r="Q6" s="29">
        <f>IFERROR(VLOOKUP($H6,PuertosLlegada!$B$2:$K$18,7,0),0)</f>
        <v>0.8</v>
      </c>
      <c r="R6" s="31">
        <f t="shared" si="3"/>
        <v>54990.376684080285</v>
      </c>
      <c r="S6" s="31">
        <f ca="1">IF(L6=0,0,VLOOKUP("SPD",PuertosLlegada!$B$2:$K$18,8,0)*E6/G6)</f>
        <v>63238.933186692324</v>
      </c>
      <c r="T6" s="29">
        <f>IFERROR(VLOOKUP($H6,PuertosLlegada!$B$2:$K$18,8,0),0)</f>
        <v>4</v>
      </c>
      <c r="U6" s="30">
        <f t="shared" si="4"/>
        <v>90000</v>
      </c>
      <c r="V6" s="32">
        <f>IFERROR(VLOOKUP($H6,PuertosLlegada!$B$2:$K$18,10,0),0)</f>
        <v>0</v>
      </c>
      <c r="W6" s="11">
        <f>IFERROR(VLOOKUP(H6,PuertosLlegada!$B$2:$N$18,13,0)*E6,0)*IF(U6&gt;0,0,1)</f>
        <v>0</v>
      </c>
      <c r="X6" s="33">
        <f t="shared" si="5"/>
        <v>0</v>
      </c>
    </row>
    <row r="7" spans="1:24" ht="14.25" customHeight="1">
      <c r="A7" s="23" t="str">
        <f>+COMPRAS!A7</f>
        <v>I5</v>
      </c>
      <c r="B7" s="23"/>
      <c r="C7" s="23" t="str">
        <f>+VLOOKUP(A7,COMPRAS!$A$2:$D$17,3,0)</f>
        <v>LIGHT OIL</v>
      </c>
      <c r="D7" s="23" t="str">
        <f>+VLOOKUP($A7,COMPRAS!$A$2:$D$17,2,0)</f>
        <v>I5-GUNVOR-LIGHT OIL-35-MBBL-MUSD$2,45</v>
      </c>
      <c r="E7" s="24">
        <f>VLOOKUP(A7,COMPRAS!$A$2:$F$22,6,0)</f>
        <v>35000</v>
      </c>
      <c r="F7" s="24">
        <f>VLOOKUP(A7, COMPRAS!$A$2:$N$21, 11, FALSE)</f>
        <v>32</v>
      </c>
      <c r="G7" s="25">
        <f>VLOOKUP(A7, COMPRAS!$A$2:$N$21, 14, FALSE)</f>
        <v>7.274</v>
      </c>
      <c r="H7" s="26" t="s">
        <v>64</v>
      </c>
      <c r="I7" s="27" t="s">
        <v>65</v>
      </c>
      <c r="J7" s="28">
        <f ca="1">IFERROR(__xludf.DUMMYFUNCTION("IFERROR(SUM(FILTER(PuertosLlegada!$E$2:$E$18, REGEXMATCH(PuertosLlegada!$C$2:$C$18, TEXTJOIN(""|"", TRUE, SPLIT(LLEGADA!I7, "", ""))))),0)"),25000)</f>
        <v>25000</v>
      </c>
      <c r="K7" s="29">
        <f t="shared" ca="1" si="0"/>
        <v>1.4</v>
      </c>
      <c r="L7" s="30">
        <f ca="1">IFERROR(IF(OR(H7="SPD",J7=0),0,E7/SUMIF(PuertosLlegada!$C$2:$C$18,"TK-109_25K",PuertosLlegada!$E$2:$E$18)),0)</f>
        <v>0</v>
      </c>
      <c r="M7" s="31">
        <f t="shared" ca="1" si="1"/>
        <v>24750</v>
      </c>
      <c r="N7" s="31">
        <f t="shared" ca="1" si="2"/>
        <v>0</v>
      </c>
      <c r="O7" s="29">
        <f>IFERROR(VLOOKUP($H7,PuertosLlegada!$B$2:$K$18,5,0),0)</f>
        <v>0.75</v>
      </c>
      <c r="P7" s="29">
        <f>IFERROR(VLOOKUP($H7,PuertosLlegada!$B$2:$K$18,6,0),0)</f>
        <v>0.6</v>
      </c>
      <c r="Q7" s="29">
        <f>IFERROR(VLOOKUP($H7,PuertosLlegada!$B$2:$K$18,7,0),0)</f>
        <v>0.48</v>
      </c>
      <c r="R7" s="31">
        <f t="shared" si="3"/>
        <v>22133.626615342313</v>
      </c>
      <c r="S7" s="31">
        <f ca="1">IF(L7=0,0,VLOOKUP("SPD",PuertosLlegada!$B$2:$K$18,8,0)*E7/G7)</f>
        <v>0</v>
      </c>
      <c r="T7" s="29">
        <f>IFERROR(VLOOKUP($H7,PuertosLlegada!$B$2:$K$18,8,0),0)</f>
        <v>4.5999999999999996</v>
      </c>
      <c r="U7" s="30">
        <f t="shared" si="4"/>
        <v>0</v>
      </c>
      <c r="V7" s="32">
        <f>IFERROR(VLOOKUP($H7,PuertosLlegada!$B$2:$K$18,10,0),0)</f>
        <v>3.5000000000000003E-2</v>
      </c>
      <c r="W7" s="11">
        <f>IFERROR(VLOOKUP(H7,PuertosLlegada!$B$2:$N$18,13,0)*E7,0)*IF(U7&gt;0,0,1)</f>
        <v>0</v>
      </c>
      <c r="X7" s="33">
        <f t="shared" si="5"/>
        <v>0</v>
      </c>
    </row>
    <row r="8" spans="1:24" ht="14.25" customHeight="1">
      <c r="A8" s="23" t="str">
        <f>+COMPRAS!A8</f>
        <v>I6</v>
      </c>
      <c r="B8" s="23"/>
      <c r="C8" s="23" t="str">
        <f>+VLOOKUP(A8,COMPRAS!$A$2:$D$17,3,0)</f>
        <v>LIGHT OIL</v>
      </c>
      <c r="D8" s="23" t="str">
        <f>+VLOOKUP($A8,COMPRAS!$A$2:$D$17,2,0)</f>
        <v>I6-BB Energy-LIGHT OIL-20-MBBL-MUSD$1,44</v>
      </c>
      <c r="E8" s="24">
        <f>VLOOKUP(A8,COMPRAS!$A$2:$F$22,6,0)</f>
        <v>20000</v>
      </c>
      <c r="F8" s="24">
        <f>VLOOKUP(A8, COMPRAS!$A$2:$N$21, 11, FALSE)</f>
        <v>33</v>
      </c>
      <c r="G8" s="25">
        <f>VLOOKUP(A8, COMPRAS!$A$2:$N$21, 14, FALSE)</f>
        <v>7.319</v>
      </c>
      <c r="H8" s="34" t="s">
        <v>64</v>
      </c>
      <c r="I8" s="27" t="s">
        <v>65</v>
      </c>
      <c r="J8" s="28">
        <f ca="1">IFERROR(__xludf.DUMMYFUNCTION("IFERROR(SUM(FILTER(PuertosLlegada!$E$2:$E$18, REGEXMATCH(PuertosLlegada!$C$2:$C$18, TEXTJOIN(""|"", TRUE, SPLIT(LLEGADA!I8, "", ""))))),0)"),25000)</f>
        <v>25000</v>
      </c>
      <c r="K8" s="29">
        <f t="shared" ca="1" si="0"/>
        <v>0.8</v>
      </c>
      <c r="L8" s="30">
        <f ca="1">IFERROR(IF(OR(H8="SPD",J8=0),0,E8/SUMIF(PuertosLlegada!$C$2:$C$18,"TK-109_25K",PuertosLlegada!$E$2:$E$18)),0)</f>
        <v>0</v>
      </c>
      <c r="M8" s="31">
        <f t="shared" ca="1" si="1"/>
        <v>15000</v>
      </c>
      <c r="N8" s="31">
        <f t="shared" ca="1" si="2"/>
        <v>0</v>
      </c>
      <c r="O8" s="29">
        <f>IFERROR(VLOOKUP($H8,PuertosLlegada!$B$2:$K$18,5,0),0)</f>
        <v>0.75</v>
      </c>
      <c r="P8" s="29">
        <f>IFERROR(VLOOKUP($H8,PuertosLlegada!$B$2:$K$18,6,0),0)</f>
        <v>0.6</v>
      </c>
      <c r="Q8" s="29">
        <f>IFERROR(VLOOKUP($H8,PuertosLlegada!$B$2:$K$18,7,0),0)</f>
        <v>0.48</v>
      </c>
      <c r="R8" s="31">
        <f t="shared" si="3"/>
        <v>12570.02322721683</v>
      </c>
      <c r="S8" s="31">
        <f ca="1">IF(L8=0,0,VLOOKUP("SPD",PuertosLlegada!$B$2:$K$18,8,0)*E8/G8)</f>
        <v>0</v>
      </c>
      <c r="T8" s="29">
        <f>IFERROR(VLOOKUP($H8,PuertosLlegada!$B$2:$K$18,8,0),0)</f>
        <v>4.5999999999999996</v>
      </c>
      <c r="U8" s="30">
        <f t="shared" si="4"/>
        <v>0</v>
      </c>
      <c r="V8" s="32">
        <f>IFERROR(VLOOKUP($H8,PuertosLlegada!$B$2:$K$18,10,0),0)</f>
        <v>3.5000000000000003E-2</v>
      </c>
      <c r="W8" s="11">
        <f>IFERROR(VLOOKUP(H8,PuertosLlegada!$B$2:$N$18,13,0)*E8,0)*IF(U8&gt;0,0,1)</f>
        <v>0</v>
      </c>
      <c r="X8" s="33">
        <f t="shared" si="5"/>
        <v>0</v>
      </c>
    </row>
    <row r="9" spans="1:24" ht="14.25" customHeight="1">
      <c r="A9" s="23" t="str">
        <f>+COMPRAS!A9</f>
        <v>I7</v>
      </c>
      <c r="B9" s="23"/>
      <c r="C9" s="23" t="str">
        <f>+VLOOKUP(A9,COMPRAS!$A$2:$D$17,3,0)</f>
        <v>LIGHT OIL</v>
      </c>
      <c r="D9" s="23" t="str">
        <f>+VLOOKUP($A9,COMPRAS!$A$2:$D$17,2,0)</f>
        <v>I7-GUNVOR Mediano-LIGHT OIL-300-MBBL-MUSD$20,4</v>
      </c>
      <c r="E9" s="24">
        <f>VLOOKUP(A9,COMPRAS!$A$2:$F$22,6,0)</f>
        <v>300000</v>
      </c>
      <c r="F9" s="24">
        <f>VLOOKUP(A9, COMPRAS!$A$2:$N$21, 11, FALSE)</f>
        <v>21</v>
      </c>
      <c r="G9" s="25">
        <f>VLOOKUP(A9, COMPRAS!$A$2:$N$21, 14, FALSE)</f>
        <v>6.7850000000000001</v>
      </c>
      <c r="H9" s="34" t="s">
        <v>61</v>
      </c>
      <c r="I9" s="27" t="s">
        <v>62</v>
      </c>
      <c r="J9" s="28">
        <f ca="1">IFERROR(__xludf.DUMMYFUNCTION("IFERROR(SUM(FILTER(PuertosLlegada!$E$2:$E$18, REGEXMATCH(PuertosLlegada!$C$2:$C$18, TEXTJOIN(""|"", TRUE, SPLIT(LLEGADA!I9, "", ""))))),0)"),300000)</f>
        <v>300000</v>
      </c>
      <c r="K9" s="29">
        <f t="shared" ca="1" si="0"/>
        <v>1</v>
      </c>
      <c r="L9" s="30">
        <f ca="1">IFERROR(IF(OR(H9="SPD",J9=0),0,E9/SUMIF(PuertosLlegada!$C$2:$C$18,"TK-109_25K",PuertosLlegada!$E$2:$E$18)),0)</f>
        <v>12</v>
      </c>
      <c r="M9" s="31">
        <f t="shared" ca="1" si="1"/>
        <v>390000</v>
      </c>
      <c r="N9" s="31">
        <f t="shared" ca="1" si="2"/>
        <v>153750</v>
      </c>
      <c r="O9" s="29">
        <f>IFERROR(VLOOKUP($H9,PuertosLlegada!$B$2:$K$18,5,0),0)</f>
        <v>1.3</v>
      </c>
      <c r="P9" s="29">
        <f>IFERROR(VLOOKUP($H9,PuertosLlegada!$B$2:$K$18,6,0),0)</f>
        <v>0.8</v>
      </c>
      <c r="Q9" s="29">
        <f>IFERROR(VLOOKUP($H9,PuertosLlegada!$B$2:$K$18,7,0),0)</f>
        <v>0.8</v>
      </c>
      <c r="R9" s="31">
        <f t="shared" si="3"/>
        <v>154753.13190862196</v>
      </c>
      <c r="S9" s="31">
        <f ca="1">IF(L9=0,0,VLOOKUP("SPD",PuertosLlegada!$B$2:$K$18,8,0)*E9/G9)</f>
        <v>203389.83050847458</v>
      </c>
      <c r="T9" s="29">
        <f>IFERROR(VLOOKUP($H9,PuertosLlegada!$B$2:$K$18,8,0),0)</f>
        <v>3.5</v>
      </c>
      <c r="U9" s="30">
        <f t="shared" si="4"/>
        <v>0</v>
      </c>
      <c r="V9" s="32">
        <f>IFERROR(VLOOKUP($H9,PuertosLlegada!$B$2:$K$18,10,0),0)</f>
        <v>0</v>
      </c>
      <c r="W9" s="11">
        <f>IFERROR(VLOOKUP(H9,PuertosLlegada!$B$2:$N$18,13,0)*E9,0)*IF(U9&gt;0,0,1)</f>
        <v>245853.65853658534</v>
      </c>
      <c r="X9" s="33">
        <f t="shared" si="5"/>
        <v>10500.000000000002</v>
      </c>
    </row>
    <row r="10" spans="1:24" ht="14.25" customHeight="1">
      <c r="A10" s="23" t="str">
        <f>+COMPRAS!A10</f>
        <v>I8</v>
      </c>
      <c r="B10" s="23"/>
      <c r="C10" s="23" t="str">
        <f>+VLOOKUP(A10,COMPRAS!$A$2:$D$17,3,0)</f>
        <v>LIGHT OIL</v>
      </c>
      <c r="D10" s="23" t="str">
        <f>+VLOOKUP($A10,COMPRAS!$A$2:$D$17,2,0)</f>
        <v>I8-GUNVOR-LIGHT OIL-50-MBBL-MUSD$3,5</v>
      </c>
      <c r="E10" s="24">
        <f>VLOOKUP(A10,COMPRAS!$A$2:$F$22,6,0)</f>
        <v>50000</v>
      </c>
      <c r="F10" s="24">
        <f>VLOOKUP(A10, COMPRAS!$A$2:$N$21, 11, FALSE)</f>
        <v>30</v>
      </c>
      <c r="G10" s="25">
        <f>VLOOKUP(A10, COMPRAS!$A$2:$N$21, 14, FALSE)</f>
        <v>7.1849999999999996</v>
      </c>
      <c r="H10" s="34" t="s">
        <v>64</v>
      </c>
      <c r="I10" s="27" t="s">
        <v>65</v>
      </c>
      <c r="J10" s="28">
        <f ca="1">IFERROR(__xludf.DUMMYFUNCTION("IFERROR(SUM(FILTER(PuertosLlegada!$E$2:$E$18, REGEXMATCH(PuertosLlegada!$C$2:$C$18, TEXTJOIN(""|"", TRUE, SPLIT(LLEGADA!I10, "", ""))))),0)"),25000)</f>
        <v>25000</v>
      </c>
      <c r="K10" s="29">
        <f t="shared" ca="1" si="0"/>
        <v>2</v>
      </c>
      <c r="L10" s="30">
        <f ca="1">IFERROR(IF(OR(H10="SPD",J10=0),0,E10/SUMIF(PuertosLlegada!$C$2:$C$18,"TK-109_25K",PuertosLlegada!$E$2:$E$18)),0)</f>
        <v>0</v>
      </c>
      <c r="M10" s="30">
        <f t="shared" ref="M10:M17" ca="1" si="6">(MIN(1,K10)*J10*O10)+(IF(K10-1&lt;0,0,MIN(K10-1,2))*J10*P10)+(IF(K10-2&lt;0,0,K10-2)*J10*Q10)</f>
        <v>33750</v>
      </c>
      <c r="N10" s="31">
        <f t="shared" ca="1" si="2"/>
        <v>0</v>
      </c>
      <c r="O10" s="29">
        <f>VLOOKUP($H10,PuertosLlegada!$B$2:$K$18,5,0)</f>
        <v>0.75</v>
      </c>
      <c r="P10" s="29">
        <f>VLOOKUP($H10,PuertosLlegada!$B$2:$K$18,6,0)</f>
        <v>0.6</v>
      </c>
      <c r="Q10" s="29">
        <f>VLOOKUP($H10,PuertosLlegada!$B$2:$K$18,7,0)</f>
        <v>0.48</v>
      </c>
      <c r="R10" s="31">
        <f t="shared" si="3"/>
        <v>32011.134307585246</v>
      </c>
      <c r="S10" s="31">
        <f ca="1">IF(L10=0,0,VLOOKUP("SPD",PuertosLlegada!$B$2:$K$18,8,0)*E10/G10)</f>
        <v>0</v>
      </c>
      <c r="T10" s="29">
        <f>VLOOKUP($H10,PuertosLlegada!$B$2:$K$18,8,0)</f>
        <v>4.5999999999999996</v>
      </c>
      <c r="U10" s="30">
        <f t="shared" si="4"/>
        <v>0</v>
      </c>
      <c r="V10" s="32">
        <f>IFERROR(VLOOKUP($H10,PuertosLlegada!$B$2:$K$18,10,0),0)</f>
        <v>3.5000000000000003E-2</v>
      </c>
      <c r="W10" s="11">
        <f>IFERROR(VLOOKUP(H10,PuertosLlegada!$B$2:$N$18,13,0)*E10,0)*IF(U10&gt;0,0,1)</f>
        <v>0</v>
      </c>
      <c r="X10" s="33">
        <f t="shared" si="5"/>
        <v>0</v>
      </c>
    </row>
    <row r="11" spans="1:24" ht="14.25" customHeight="1">
      <c r="A11" s="23" t="str">
        <f>+COMPRAS!A11</f>
        <v>I9</v>
      </c>
      <c r="B11" s="23"/>
      <c r="C11" s="23" t="str">
        <f>+VLOOKUP(A11,COMPRAS!$A$2:$D$17,3,0)</f>
        <v>LIGHT OIL</v>
      </c>
      <c r="D11" s="23" t="str">
        <f>+VLOOKUP($A11,COMPRAS!$A$2:$D$17,2,0)</f>
        <v>I9-BB Energy-LIGHT OIL-75-MBBL-MUSD$5,2875</v>
      </c>
      <c r="E11" s="24">
        <f>VLOOKUP(A11,COMPRAS!$A$2:$F$22,6,0)</f>
        <v>75000</v>
      </c>
      <c r="F11" s="24">
        <f>VLOOKUP(A11, COMPRAS!$A$2:$N$21, 11, FALSE)</f>
        <v>28</v>
      </c>
      <c r="G11" s="25">
        <f>VLOOKUP(A11, COMPRAS!$A$2:$N$21, 14, FALSE)</f>
        <v>7.0960000000000001</v>
      </c>
      <c r="H11" s="34" t="s">
        <v>64</v>
      </c>
      <c r="I11" s="27" t="s">
        <v>65</v>
      </c>
      <c r="J11" s="28">
        <f ca="1">IFERROR(__xludf.DUMMYFUNCTION("IFERROR(SUM(FILTER(PuertosLlegada!$E$2:$E$18, REGEXMATCH(PuertosLlegada!$C$2:$C$18, TEXTJOIN(""|"", TRUE, SPLIT(LLEGADA!I11, "", ""))))),0)"),25000)</f>
        <v>25000</v>
      </c>
      <c r="K11" s="29">
        <f t="shared" ca="1" si="0"/>
        <v>3</v>
      </c>
      <c r="L11" s="30">
        <f ca="1">IFERROR(IF(OR(H11="SPD",J11=0),0,E11/SUMIF(PuertosLlegada!$C$2:$C$18,"TK-109_25K",PuertosLlegada!$E$2:$E$18)),0)</f>
        <v>0</v>
      </c>
      <c r="M11" s="30">
        <f t="shared" ca="1" si="6"/>
        <v>60750</v>
      </c>
      <c r="N11" s="31">
        <f t="shared" ca="1" si="2"/>
        <v>0</v>
      </c>
      <c r="O11" s="29">
        <f>VLOOKUP($H11,PuertosLlegada!$B$2:$K$18,5,0)</f>
        <v>0.75</v>
      </c>
      <c r="P11" s="29">
        <f>VLOOKUP($H11,PuertosLlegada!$B$2:$K$18,6,0)</f>
        <v>0.6</v>
      </c>
      <c r="Q11" s="29">
        <f>VLOOKUP($H11,PuertosLlegada!$B$2:$K$18,7,0)</f>
        <v>0.48</v>
      </c>
      <c r="R11" s="31">
        <f t="shared" si="3"/>
        <v>48618.940248027058</v>
      </c>
      <c r="S11" s="31">
        <f ca="1">IF(L11=0,0,VLOOKUP("SPD",PuertosLlegada!$B$2:$K$18,8,0)*E11/G11)</f>
        <v>0</v>
      </c>
      <c r="T11" s="29">
        <f>VLOOKUP($H11,PuertosLlegada!$B$2:$K$18,8,0)</f>
        <v>4.5999999999999996</v>
      </c>
      <c r="U11" s="30">
        <f t="shared" si="4"/>
        <v>0</v>
      </c>
      <c r="V11" s="32">
        <f>IFERROR(VLOOKUP($H11,PuertosLlegada!$B$2:$K$18,10,0),0)</f>
        <v>3.5000000000000003E-2</v>
      </c>
      <c r="W11" s="11">
        <f>IFERROR(VLOOKUP(H11,PuertosLlegada!$B$2:$N$18,13,0)*E11,0)*IF(U11&gt;0,0,1)</f>
        <v>0</v>
      </c>
      <c r="X11" s="33">
        <f t="shared" si="5"/>
        <v>0</v>
      </c>
    </row>
    <row r="12" spans="1:24" ht="14.25" customHeight="1">
      <c r="A12" s="23" t="str">
        <f>+COMPRAS!A12</f>
        <v>I10</v>
      </c>
      <c r="B12" s="23"/>
      <c r="C12" s="23" t="str">
        <f>+VLOOKUP(A12,COMPRAS!$A$2:$D$17,3,0)</f>
        <v>LIGHT OIL</v>
      </c>
      <c r="D12" s="23" t="str">
        <f>+VLOOKUP($A12,COMPRAS!$A$2:$D$17,2,0)</f>
        <v>I10-GUNVOR Mediano-LIGHT OIL-15-MBBL-MUSD$1,065</v>
      </c>
      <c r="E12" s="24">
        <f>VLOOKUP(A12,COMPRAS!$A$2:$F$22,6,0)</f>
        <v>15000</v>
      </c>
      <c r="F12" s="24">
        <f>VLOOKUP(A12, COMPRAS!$A$2:$N$21, 11, FALSE)</f>
        <v>30</v>
      </c>
      <c r="G12" s="25">
        <f>VLOOKUP(A12, COMPRAS!$A$2:$N$21, 14, FALSE)</f>
        <v>7.1849999999999996</v>
      </c>
      <c r="H12" s="34" t="s">
        <v>59</v>
      </c>
      <c r="I12" s="27" t="s">
        <v>68</v>
      </c>
      <c r="J12" s="28">
        <f ca="1">IFERROR(__xludf.DUMMYFUNCTION("IFERROR(SUM(FILTER(PuertosLlegada!$E$2:$E$18, REGEXMATCH(PuertosLlegada!$C$2:$C$18, TEXTJOIN(""|"", TRUE, SPLIT(LLEGADA!I12, "", ""))))),0)"),80000)</f>
        <v>80000</v>
      </c>
      <c r="K12" s="29">
        <f t="shared" ca="1" si="0"/>
        <v>0.1875</v>
      </c>
      <c r="L12" s="30">
        <f ca="1">IFERROR(IF(OR(H12="SPD",J12=0),0,E12/SUMIF(PuertosLlegada!$C$2:$C$18,"TK-109_25K",PuertosLlegada!$E$2:$E$18)),0)</f>
        <v>0.6</v>
      </c>
      <c r="M12" s="30">
        <f t="shared" ca="1" si="6"/>
        <v>22500</v>
      </c>
      <c r="N12" s="31">
        <f t="shared" ca="1" si="2"/>
        <v>11249.999999999998</v>
      </c>
      <c r="O12" s="29">
        <f>VLOOKUP($H12,PuertosLlegada!$B$2:$K$18,5,0)</f>
        <v>1.5</v>
      </c>
      <c r="P12" s="29">
        <f>VLOOKUP($H12,PuertosLlegada!$B$2:$K$18,6,0)</f>
        <v>0.8</v>
      </c>
      <c r="Q12" s="29">
        <f>VLOOKUP($H12,PuertosLlegada!$B$2:$K$18,7,0)</f>
        <v>0.8</v>
      </c>
      <c r="R12" s="31">
        <f t="shared" si="3"/>
        <v>8350.7306889352822</v>
      </c>
      <c r="S12" s="31">
        <f ca="1">IF(L12=0,0,VLOOKUP("SPD",PuertosLlegada!$B$2:$K$18,8,0)*E12/G12)</f>
        <v>9603.340292275574</v>
      </c>
      <c r="T12" s="29">
        <f>VLOOKUP($H12,PuertosLlegada!$B$2:$K$18,8,0)</f>
        <v>4</v>
      </c>
      <c r="U12" s="30">
        <f t="shared" si="4"/>
        <v>0</v>
      </c>
      <c r="V12" s="32">
        <f>IFERROR(VLOOKUP($H12,PuertosLlegada!$B$2:$K$18,10,0),0)</f>
        <v>0</v>
      </c>
      <c r="W12" s="11">
        <f>IFERROR(VLOOKUP(H12,PuertosLlegada!$B$2:$N$18,13,0)*E12,0)*IF(U12&gt;0,0,1)</f>
        <v>27658.536585365855</v>
      </c>
      <c r="X12" s="33">
        <f t="shared" si="5"/>
        <v>525</v>
      </c>
    </row>
    <row r="13" spans="1:24" ht="14.25" customHeight="1">
      <c r="A13" s="23" t="str">
        <f>+COMPRAS!A13</f>
        <v>I11</v>
      </c>
      <c r="B13" s="23"/>
      <c r="C13" s="23" t="str">
        <f>+VLOOKUP(A13,COMPRAS!$A$2:$D$17,3,0)</f>
        <v>LIGHT OIL</v>
      </c>
      <c r="D13" s="23" t="str">
        <f>+VLOOKUP($A13,COMPRAS!$A$2:$D$17,2,0)</f>
        <v>I11-BB Energy-LIGHT OIL-200-MBBL-MUSD$13,6</v>
      </c>
      <c r="E13" s="24">
        <f>VLOOKUP(A13,COMPRAS!$A$2:$F$22,6,0)</f>
        <v>200000</v>
      </c>
      <c r="F13" s="24">
        <f>VLOOKUP(A13, COMPRAS!$A$2:$N$21, 11, FALSE)</f>
        <v>25</v>
      </c>
      <c r="G13" s="25">
        <f>VLOOKUP(A13, COMPRAS!$A$2:$N$21, 14, FALSE)</f>
        <v>6.9630000000000001</v>
      </c>
      <c r="H13" s="34" t="s">
        <v>66</v>
      </c>
      <c r="I13" s="27" t="s">
        <v>69</v>
      </c>
      <c r="J13" s="28">
        <f ca="1">IFERROR(__xludf.DUMMYFUNCTION("IFERROR(SUM(FILTER(PuertosLlegada!$E$2:$E$18, REGEXMATCH(PuertosLlegada!$C$2:$C$18, TEXTJOIN(""|"", TRUE, SPLIT(LLEGADA!I13, "", ""))))),0)"),60000)</f>
        <v>60000</v>
      </c>
      <c r="K13" s="29">
        <f t="shared" ca="1" si="0"/>
        <v>3.3333333333333335</v>
      </c>
      <c r="L13" s="30">
        <f ca="1">IFERROR(IF(OR(H13="SPD",J13=0),0,E13/SUMIF(PuertosLlegada!$C$2:$C$18,"TK-109_25K",PuertosLlegada!$E$2:$E$18)),0)</f>
        <v>8</v>
      </c>
      <c r="M13" s="30">
        <f t="shared" ca="1" si="6"/>
        <v>265000</v>
      </c>
      <c r="N13" s="31">
        <f t="shared" ca="1" si="2"/>
        <v>105750</v>
      </c>
      <c r="O13" s="29">
        <f>VLOOKUP($H13,PuertosLlegada!$B$2:$K$18,5,0)</f>
        <v>1.75</v>
      </c>
      <c r="P13" s="29">
        <f>VLOOKUP($H13,PuertosLlegada!$B$2:$K$18,6,0)</f>
        <v>0.8</v>
      </c>
      <c r="Q13" s="29">
        <f>VLOOKUP($H13,PuertosLlegada!$B$2:$K$18,7,0)</f>
        <v>0.8</v>
      </c>
      <c r="R13" s="31">
        <f t="shared" si="3"/>
        <v>114893.00588826655</v>
      </c>
      <c r="S13" s="31">
        <f ca="1">IF(L13=0,0,VLOOKUP("SPD",PuertosLlegada!$B$2:$K$18,8,0)*E13/G13)</f>
        <v>132126.95677150652</v>
      </c>
      <c r="T13" s="29">
        <f>VLOOKUP($H13,PuertosLlegada!$B$2:$K$18,8,0)</f>
        <v>4</v>
      </c>
      <c r="U13" s="30">
        <f t="shared" si="4"/>
        <v>180000</v>
      </c>
      <c r="V13" s="32">
        <f>IFERROR(VLOOKUP($H13,PuertosLlegada!$B$2:$K$18,10,0),0)</f>
        <v>0</v>
      </c>
      <c r="W13" s="11">
        <f>IFERROR(VLOOKUP(H13,PuertosLlegada!$B$2:$N$18,13,0)*E13,0)*IF(U13&gt;0,0,1)</f>
        <v>0</v>
      </c>
      <c r="X13" s="33">
        <f t="shared" si="5"/>
        <v>0</v>
      </c>
    </row>
    <row r="14" spans="1:24" ht="14.25" customHeight="1">
      <c r="A14" s="23" t="str">
        <f>+COMPRAS!A14</f>
        <v>I12</v>
      </c>
      <c r="B14" s="23"/>
      <c r="C14" s="23" t="str">
        <f>+VLOOKUP(A14,COMPRAS!$A$2:$D$17,3,0)</f>
        <v>LIGHT OIL</v>
      </c>
      <c r="D14" s="23" t="str">
        <f>+VLOOKUP($A14,COMPRAS!$A$2:$D$17,2,0)</f>
        <v>I12-GUNVOR-LIGHT OIL-50-MBBL-MUSD$3,55</v>
      </c>
      <c r="E14" s="24">
        <f>VLOOKUP(A14,COMPRAS!$A$2:$F$22,6,0)</f>
        <v>50000</v>
      </c>
      <c r="F14" s="24">
        <f>VLOOKUP(A14, COMPRAS!$A$2:$N$21, 11, FALSE)</f>
        <v>30</v>
      </c>
      <c r="G14" s="25">
        <f>VLOOKUP(A14, COMPRAS!$A$2:$N$21, 14, FALSE)</f>
        <v>7.1849999999999996</v>
      </c>
      <c r="H14" s="26" t="s">
        <v>64</v>
      </c>
      <c r="I14" s="27" t="s">
        <v>65</v>
      </c>
      <c r="J14" s="28">
        <f ca="1">IFERROR(__xludf.DUMMYFUNCTION("IFERROR(SUM(FILTER(PuertosLlegada!$E$2:$E$18, REGEXMATCH(PuertosLlegada!$C$2:$C$18, TEXTJOIN(""|"", TRUE, SPLIT(LLEGADA!I14, "", ""))))),0)"),25000)</f>
        <v>25000</v>
      </c>
      <c r="K14" s="29">
        <f t="shared" ca="1" si="0"/>
        <v>2</v>
      </c>
      <c r="L14" s="30">
        <f ca="1">IFERROR(IF(OR(H14="SPD",J14=0),0,E14/SUMIF(PuertosLlegada!$C$2:$C$18,"TK-109_25K",PuertosLlegada!$E$2:$E$18)),0)</f>
        <v>0</v>
      </c>
      <c r="M14" s="30">
        <f t="shared" ca="1" si="6"/>
        <v>33750</v>
      </c>
      <c r="N14" s="31">
        <f t="shared" ca="1" si="2"/>
        <v>0</v>
      </c>
      <c r="O14" s="29">
        <f>VLOOKUP($H14,PuertosLlegada!$B$2:$K$18,5,0)</f>
        <v>0.75</v>
      </c>
      <c r="P14" s="29">
        <f>VLOOKUP($H14,PuertosLlegada!$B$2:$K$18,6,0)</f>
        <v>0.6</v>
      </c>
      <c r="Q14" s="29">
        <f>VLOOKUP($H14,PuertosLlegada!$B$2:$K$18,7,0)</f>
        <v>0.48</v>
      </c>
      <c r="R14" s="31">
        <f t="shared" si="3"/>
        <v>32011.134307585246</v>
      </c>
      <c r="S14" s="31">
        <f ca="1">IF(L14=0,0,VLOOKUP("SPD",PuertosLlegada!$B$2:$K$18,8,0)*E14/G14)</f>
        <v>0</v>
      </c>
      <c r="T14" s="29">
        <f>VLOOKUP($H14,PuertosLlegada!$B$2:$K$18,8,0)</f>
        <v>4.5999999999999996</v>
      </c>
      <c r="U14" s="30">
        <f t="shared" si="4"/>
        <v>0</v>
      </c>
      <c r="V14" s="32">
        <f>IFERROR(VLOOKUP($H14,PuertosLlegada!$B$2:$K$18,10,0),0)</f>
        <v>3.5000000000000003E-2</v>
      </c>
      <c r="W14" s="11">
        <f>IFERROR(VLOOKUP(H14,PuertosLlegada!$B$2:$N$18,13,0)*E14,0)*IF(U14&gt;0,0,1)</f>
        <v>0</v>
      </c>
      <c r="X14" s="33">
        <f t="shared" si="5"/>
        <v>0</v>
      </c>
    </row>
    <row r="15" spans="1:24" ht="14.25" customHeight="1">
      <c r="A15" s="23"/>
      <c r="B15" s="23"/>
      <c r="C15" s="23"/>
      <c r="D15" s="23"/>
      <c r="E15" s="35"/>
      <c r="F15" s="24"/>
      <c r="G15" s="25"/>
      <c r="H15" s="34" t="s">
        <v>64</v>
      </c>
      <c r="I15" s="27" t="s">
        <v>65</v>
      </c>
      <c r="J15" s="28">
        <f ca="1">IFERROR(__xludf.DUMMYFUNCTION("IFERROR(SUM(FILTER(PuertosLlegada!$E$2:$E$18, REGEXMATCH(PuertosLlegada!$C$2:$C$18, TEXTJOIN(""|"", TRUE, SPLIT(LLEGADA!I15, "", ""))))),0)"),25000)</f>
        <v>25000</v>
      </c>
      <c r="K15" s="29">
        <f t="shared" ca="1" si="0"/>
        <v>0</v>
      </c>
      <c r="L15" s="30">
        <f ca="1">IFERROR(IF(OR(H15="SPD",J15=0),0,E15/SUMIF(PuertosLlegada!$C$2:$C$18,"TK-109_25K",PuertosLlegada!$E$2:$E$18)),0)</f>
        <v>0</v>
      </c>
      <c r="M15" s="30">
        <f t="shared" ca="1" si="6"/>
        <v>0</v>
      </c>
      <c r="N15" s="31">
        <f t="shared" ca="1" si="2"/>
        <v>0</v>
      </c>
      <c r="O15" s="29">
        <f>VLOOKUP($H15,PuertosLlegada!$B$2:$K$18,5,0)</f>
        <v>0.75</v>
      </c>
      <c r="P15" s="29">
        <f>VLOOKUP($H15,PuertosLlegada!$B$2:$K$18,6,0)</f>
        <v>0.6</v>
      </c>
      <c r="Q15" s="29">
        <f>VLOOKUP($H15,PuertosLlegada!$B$2:$K$18,7,0)</f>
        <v>0.48</v>
      </c>
      <c r="R15" s="31">
        <f t="shared" si="3"/>
        <v>0</v>
      </c>
      <c r="S15" s="31">
        <f ca="1">IF(L15=0,0,VLOOKUP("SPD",PuertosLlegada!$B$2:$K$18,8,0)*E15/G15)</f>
        <v>0</v>
      </c>
      <c r="T15" s="29">
        <f>VLOOKUP($H15,PuertosLlegada!$B$2:$K$18,8,0)</f>
        <v>4.5999999999999996</v>
      </c>
      <c r="U15" s="30">
        <f t="shared" si="4"/>
        <v>0</v>
      </c>
      <c r="V15" s="32">
        <f>IFERROR(VLOOKUP($H15,PuertosLlegada!$B$2:$K$18,10,0),0)</f>
        <v>3.5000000000000003E-2</v>
      </c>
      <c r="W15" s="11">
        <f>IFERROR(VLOOKUP(H15,PuertosLlegada!$B$2:$N$18,13,0)*E15,0)*IF(U15&gt;0,0,1)</f>
        <v>0</v>
      </c>
      <c r="X15" s="33">
        <f t="shared" si="5"/>
        <v>0</v>
      </c>
    </row>
    <row r="16" spans="1:24" ht="14.25" customHeight="1">
      <c r="A16" s="23"/>
      <c r="B16" s="23"/>
      <c r="C16" s="23"/>
      <c r="D16" s="23"/>
      <c r="E16" s="35"/>
      <c r="F16" s="24"/>
      <c r="G16" s="25"/>
      <c r="H16" s="26" t="s">
        <v>61</v>
      </c>
      <c r="I16" s="27" t="s">
        <v>62</v>
      </c>
      <c r="J16" s="28">
        <f ca="1">IFERROR(__xludf.DUMMYFUNCTION("IFERROR(SUM(FILTER(PuertosLlegada!$E$2:$E$18, REGEXMATCH(PuertosLlegada!$C$2:$C$18, TEXTJOIN(""|"", TRUE, SPLIT(LLEGADA!I16, "", ""))))),0)"),300000)</f>
        <v>300000</v>
      </c>
      <c r="K16" s="29">
        <f t="shared" ca="1" si="0"/>
        <v>0</v>
      </c>
      <c r="L16" s="30">
        <f ca="1">IFERROR(IF(OR(H16="SPD",J16=0),0,E16/SUMIF(PuertosLlegada!$C$2:$C$18,"TK-109_25K",PuertosLlegada!$E$2:$E$18)),0)</f>
        <v>0</v>
      </c>
      <c r="M16" s="30">
        <f t="shared" ca="1" si="6"/>
        <v>0</v>
      </c>
      <c r="N16" s="31">
        <f t="shared" ca="1" si="2"/>
        <v>0</v>
      </c>
      <c r="O16" s="29">
        <f>VLOOKUP($H16,PuertosLlegada!$B$2:$K$18,5,0)</f>
        <v>1.3</v>
      </c>
      <c r="P16" s="29">
        <f>VLOOKUP($H16,PuertosLlegada!$B$2:$K$18,6,0)</f>
        <v>0.8</v>
      </c>
      <c r="Q16" s="29">
        <f>VLOOKUP($H16,PuertosLlegada!$B$2:$K$18,7,0)</f>
        <v>0.8</v>
      </c>
      <c r="R16" s="31">
        <f t="shared" si="3"/>
        <v>0</v>
      </c>
      <c r="S16" s="31">
        <f ca="1">IF(L16=0,0,VLOOKUP("SPD",PuertosLlegada!$B$2:$K$18,8,0)*E16/G16)</f>
        <v>0</v>
      </c>
      <c r="T16" s="29">
        <f>VLOOKUP($H16,PuertosLlegada!$B$2:$K$18,8,0)</f>
        <v>3.5</v>
      </c>
      <c r="U16" s="30">
        <f t="shared" si="4"/>
        <v>0</v>
      </c>
      <c r="V16" s="32">
        <f>IFERROR(VLOOKUP($H16,PuertosLlegada!$B$2:$K$18,10,0),0)</f>
        <v>0</v>
      </c>
      <c r="W16" s="11">
        <f>IFERROR(VLOOKUP(H16,PuertosLlegada!$B$2:$N$18,13,0)*E16,0)*IF(U16&gt;0,0,1)</f>
        <v>0</v>
      </c>
      <c r="X16" s="33">
        <f t="shared" si="5"/>
        <v>0</v>
      </c>
    </row>
    <row r="17" spans="1:24" ht="14.25" customHeight="1">
      <c r="A17" s="23"/>
      <c r="B17" s="23"/>
      <c r="C17" s="23"/>
      <c r="D17" s="23"/>
      <c r="E17" s="35"/>
      <c r="F17" s="35"/>
      <c r="G17" s="35"/>
      <c r="H17" s="26" t="s">
        <v>64</v>
      </c>
      <c r="I17" s="27" t="s">
        <v>65</v>
      </c>
      <c r="J17" s="28">
        <f ca="1">IFERROR(__xludf.DUMMYFUNCTION("IFERROR(SUM(FILTER(PuertosLlegada!$E$2:$E$18, REGEXMATCH(PuertosLlegada!$C$2:$C$18, TEXTJOIN(""|"", TRUE, SPLIT(LLEGADA!I17, "", ""))))),0)"),25000)</f>
        <v>25000</v>
      </c>
      <c r="K17" s="29">
        <f t="shared" ca="1" si="0"/>
        <v>0</v>
      </c>
      <c r="L17" s="30">
        <f ca="1">IFERROR(IF(OR(H17="SPD",J17=0),0,E17/SUMIF(PuertosLlegada!$C$2:$C$18,"TK-109_25K",PuertosLlegada!$E$2:$E$18)),0)</f>
        <v>0</v>
      </c>
      <c r="M17" s="30">
        <f t="shared" ca="1" si="6"/>
        <v>0</v>
      </c>
      <c r="N17" s="31">
        <f t="shared" ca="1" si="2"/>
        <v>0</v>
      </c>
      <c r="O17" s="29">
        <f>VLOOKUP($H17,PuertosLlegada!$B$2:$K$18,5,0)</f>
        <v>0.75</v>
      </c>
      <c r="P17" s="29">
        <f>VLOOKUP($H17,PuertosLlegada!$B$2:$K$18,6,0)</f>
        <v>0.6</v>
      </c>
      <c r="Q17" s="29">
        <f>VLOOKUP($H17,PuertosLlegada!$B$2:$K$18,7,0)</f>
        <v>0.48</v>
      </c>
      <c r="R17" s="31">
        <f t="shared" si="3"/>
        <v>0</v>
      </c>
      <c r="S17" s="31">
        <f ca="1">IF(L17=0,0,VLOOKUP("SPD",PuertosLlegada!$B$2:$K$18,8,0)*E17/G17)</f>
        <v>0</v>
      </c>
      <c r="T17" s="29">
        <f>VLOOKUP($H17,PuertosLlegada!$B$2:$K$18,8,0)</f>
        <v>4.5999999999999996</v>
      </c>
      <c r="U17" s="30">
        <f t="shared" si="4"/>
        <v>0</v>
      </c>
      <c r="V17" s="32">
        <f>IFERROR(VLOOKUP($H17,PuertosLlegada!$B$2:$K$18,10,0),0)</f>
        <v>3.5000000000000003E-2</v>
      </c>
      <c r="W17" s="11">
        <f>IFERROR(VLOOKUP(H17,PuertosLlegada!$B$2:$N$18,13,0)*E17,0)*IF(U17&gt;0,0,1)</f>
        <v>0</v>
      </c>
      <c r="X17" s="33">
        <f t="shared" si="5"/>
        <v>0</v>
      </c>
    </row>
    <row r="18" spans="1:24" ht="14.25" customHeight="1">
      <c r="M18" s="36"/>
      <c r="N18" s="37"/>
      <c r="R18" s="36"/>
      <c r="S18" s="38"/>
      <c r="T18" s="39"/>
      <c r="U18" s="40"/>
      <c r="W18" s="41"/>
      <c r="X18" s="42"/>
    </row>
    <row r="19" spans="1:24" ht="14.25" customHeight="1">
      <c r="M19" s="36"/>
      <c r="N19" s="37"/>
      <c r="R19" s="36"/>
      <c r="S19" s="38"/>
      <c r="T19" s="39"/>
      <c r="U19" s="40"/>
      <c r="W19" s="41"/>
      <c r="X19" s="42"/>
    </row>
    <row r="20" spans="1:24" ht="14.25" customHeight="1">
      <c r="M20" s="36"/>
      <c r="N20" s="37"/>
      <c r="R20" s="36"/>
      <c r="S20" s="38"/>
      <c r="T20" s="39"/>
      <c r="U20" s="40"/>
      <c r="W20" s="41"/>
      <c r="X20" s="42"/>
    </row>
    <row r="21" spans="1:24" ht="14.25" customHeight="1">
      <c r="M21" s="36"/>
      <c r="N21" s="37"/>
      <c r="R21" s="36"/>
      <c r="S21" s="38"/>
      <c r="T21" s="39"/>
      <c r="U21" s="40"/>
      <c r="W21" s="41"/>
      <c r="X21" s="42"/>
    </row>
    <row r="22" spans="1:24" ht="14.25" customHeight="1">
      <c r="M22" s="36"/>
      <c r="N22" s="37"/>
      <c r="R22" s="36"/>
      <c r="S22" s="38"/>
      <c r="T22" s="39"/>
      <c r="U22" s="40"/>
      <c r="W22" s="41"/>
      <c r="X22" s="42"/>
    </row>
    <row r="23" spans="1:24" ht="14.25" customHeight="1">
      <c r="M23" s="36"/>
      <c r="N23" s="37"/>
      <c r="R23" s="36"/>
      <c r="S23" s="38"/>
      <c r="T23" s="39"/>
      <c r="U23" s="40"/>
      <c r="W23" s="41"/>
      <c r="X23" s="42"/>
    </row>
    <row r="24" spans="1:24" ht="14.25" customHeight="1">
      <c r="M24" s="36"/>
      <c r="N24" s="37"/>
      <c r="R24" s="36"/>
      <c r="S24" s="38"/>
      <c r="T24" s="39"/>
      <c r="U24" s="40"/>
      <c r="W24" s="41"/>
      <c r="X24" s="42"/>
    </row>
    <row r="25" spans="1:24" ht="14.25" customHeight="1">
      <c r="M25" s="36"/>
      <c r="N25" s="37"/>
      <c r="R25" s="36"/>
      <c r="S25" s="38"/>
      <c r="T25" s="39"/>
      <c r="U25" s="40"/>
      <c r="W25" s="41"/>
      <c r="X25" s="42"/>
    </row>
    <row r="26" spans="1:24" ht="14.25" customHeight="1">
      <c r="M26" s="36"/>
      <c r="N26" s="37"/>
      <c r="R26" s="36"/>
      <c r="S26" s="38"/>
      <c r="T26" s="39"/>
      <c r="U26" s="40"/>
      <c r="W26" s="41"/>
      <c r="X26" s="42"/>
    </row>
    <row r="27" spans="1:24" ht="14.25" customHeight="1">
      <c r="M27" s="36"/>
      <c r="N27" s="37"/>
      <c r="R27" s="36"/>
      <c r="S27" s="38"/>
      <c r="T27" s="39"/>
      <c r="U27" s="40"/>
      <c r="W27" s="41"/>
      <c r="X27" s="42"/>
    </row>
    <row r="28" spans="1:24" ht="14.25" customHeight="1">
      <c r="M28" s="36"/>
      <c r="N28" s="37"/>
      <c r="R28" s="36"/>
      <c r="S28" s="38"/>
      <c r="T28" s="39"/>
      <c r="U28" s="40"/>
      <c r="W28" s="41"/>
      <c r="X28" s="42"/>
    </row>
    <row r="29" spans="1:24" ht="14.25" customHeight="1">
      <c r="M29" s="36"/>
      <c r="N29" s="37"/>
      <c r="R29" s="36"/>
      <c r="S29" s="38"/>
      <c r="T29" s="39"/>
      <c r="U29" s="40"/>
      <c r="W29" s="41"/>
      <c r="X29" s="42"/>
    </row>
    <row r="30" spans="1:24" ht="14.25" customHeight="1">
      <c r="M30" s="36"/>
      <c r="N30" s="37"/>
      <c r="R30" s="36"/>
      <c r="S30" s="38"/>
      <c r="T30" s="39"/>
      <c r="U30" s="40"/>
      <c r="W30" s="41"/>
      <c r="X30" s="42"/>
    </row>
    <row r="31" spans="1:24" ht="14.25" customHeight="1">
      <c r="M31" s="36"/>
      <c r="N31" s="37"/>
      <c r="R31" s="36"/>
      <c r="S31" s="38"/>
      <c r="T31" s="39"/>
      <c r="U31" s="40"/>
      <c r="W31" s="41"/>
      <c r="X31" s="42"/>
    </row>
    <row r="32" spans="1:24" ht="14.25" customHeight="1">
      <c r="M32" s="36"/>
      <c r="N32" s="37"/>
      <c r="R32" s="36"/>
      <c r="S32" s="38"/>
      <c r="T32" s="39"/>
      <c r="U32" s="40"/>
      <c r="W32" s="41"/>
      <c r="X32" s="42"/>
    </row>
    <row r="33" spans="13:24" ht="14.25" customHeight="1">
      <c r="M33" s="36"/>
      <c r="N33" s="37"/>
      <c r="R33" s="36"/>
      <c r="S33" s="38"/>
      <c r="T33" s="39"/>
      <c r="U33" s="40"/>
      <c r="W33" s="41"/>
      <c r="X33" s="42"/>
    </row>
    <row r="34" spans="13:24" ht="14.25" customHeight="1">
      <c r="M34" s="36"/>
      <c r="N34" s="37"/>
      <c r="R34" s="36"/>
      <c r="S34" s="38"/>
      <c r="T34" s="39"/>
      <c r="U34" s="40"/>
      <c r="W34" s="41"/>
      <c r="X34" s="42"/>
    </row>
    <row r="35" spans="13:24" ht="14.25" customHeight="1">
      <c r="M35" s="36"/>
      <c r="N35" s="37"/>
      <c r="R35" s="36"/>
      <c r="S35" s="38"/>
      <c r="T35" s="39"/>
      <c r="U35" s="40"/>
      <c r="W35" s="41"/>
      <c r="X35" s="42"/>
    </row>
    <row r="36" spans="13:24" ht="14.25" customHeight="1">
      <c r="M36" s="36"/>
      <c r="N36" s="37"/>
      <c r="R36" s="36"/>
      <c r="S36" s="38"/>
      <c r="T36" s="39"/>
      <c r="U36" s="40"/>
      <c r="W36" s="41"/>
      <c r="X36" s="42"/>
    </row>
    <row r="37" spans="13:24" ht="14.25" customHeight="1">
      <c r="M37" s="36"/>
      <c r="N37" s="37"/>
      <c r="R37" s="36"/>
      <c r="S37" s="38"/>
      <c r="T37" s="39"/>
      <c r="U37" s="40"/>
      <c r="W37" s="41"/>
      <c r="X37" s="42"/>
    </row>
    <row r="38" spans="13:24" ht="14.25" customHeight="1">
      <c r="M38" s="36"/>
      <c r="N38" s="37"/>
      <c r="R38" s="36"/>
      <c r="S38" s="38"/>
      <c r="T38" s="39"/>
      <c r="U38" s="40"/>
      <c r="W38" s="41"/>
      <c r="X38" s="42"/>
    </row>
    <row r="39" spans="13:24" ht="14.25" customHeight="1">
      <c r="M39" s="36"/>
      <c r="N39" s="37"/>
      <c r="R39" s="36"/>
      <c r="S39" s="38"/>
      <c r="T39" s="39"/>
      <c r="U39" s="40"/>
      <c r="W39" s="41"/>
      <c r="X39" s="42"/>
    </row>
    <row r="40" spans="13:24" ht="14.25" customHeight="1">
      <c r="M40" s="36"/>
      <c r="N40" s="37"/>
      <c r="R40" s="36"/>
      <c r="S40" s="38"/>
      <c r="T40" s="39"/>
      <c r="U40" s="40"/>
      <c r="W40" s="41"/>
      <c r="X40" s="42"/>
    </row>
    <row r="41" spans="13:24" ht="14.25" customHeight="1">
      <c r="M41" s="36"/>
      <c r="N41" s="37"/>
      <c r="R41" s="36"/>
      <c r="S41" s="38"/>
      <c r="T41" s="39"/>
      <c r="U41" s="40"/>
      <c r="W41" s="41"/>
      <c r="X41" s="42"/>
    </row>
    <row r="42" spans="13:24" ht="14.25" customHeight="1">
      <c r="M42" s="36"/>
      <c r="N42" s="37"/>
      <c r="R42" s="36"/>
      <c r="S42" s="38"/>
      <c r="T42" s="39"/>
      <c r="U42" s="40"/>
      <c r="W42" s="41"/>
      <c r="X42" s="42"/>
    </row>
    <row r="43" spans="13:24" ht="14.25" customHeight="1">
      <c r="M43" s="36"/>
      <c r="N43" s="37"/>
      <c r="R43" s="36"/>
      <c r="S43" s="38"/>
      <c r="T43" s="39"/>
      <c r="U43" s="40"/>
      <c r="W43" s="41"/>
      <c r="X43" s="42"/>
    </row>
    <row r="44" spans="13:24" ht="14.25" customHeight="1">
      <c r="M44" s="36"/>
      <c r="N44" s="37"/>
      <c r="R44" s="36"/>
      <c r="S44" s="38"/>
      <c r="T44" s="39"/>
      <c r="U44" s="40"/>
      <c r="W44" s="41"/>
      <c r="X44" s="42"/>
    </row>
    <row r="45" spans="13:24" ht="14.25" customHeight="1">
      <c r="M45" s="36"/>
      <c r="N45" s="37"/>
      <c r="R45" s="36"/>
      <c r="S45" s="38"/>
      <c r="T45" s="39"/>
      <c r="U45" s="40"/>
      <c r="W45" s="41"/>
      <c r="X45" s="42"/>
    </row>
    <row r="46" spans="13:24" ht="14.25" customHeight="1">
      <c r="M46" s="36"/>
      <c r="N46" s="37"/>
      <c r="R46" s="36"/>
      <c r="S46" s="38"/>
      <c r="T46" s="39"/>
      <c r="U46" s="40"/>
      <c r="W46" s="41"/>
      <c r="X46" s="42"/>
    </row>
    <row r="47" spans="13:24" ht="14.25" customHeight="1">
      <c r="M47" s="36"/>
      <c r="N47" s="37"/>
      <c r="R47" s="36"/>
      <c r="S47" s="38"/>
      <c r="T47" s="39"/>
      <c r="U47" s="40"/>
      <c r="W47" s="41"/>
      <c r="X47" s="42"/>
    </row>
    <row r="48" spans="13:24" ht="14.25" customHeight="1">
      <c r="M48" s="36"/>
      <c r="N48" s="37"/>
      <c r="R48" s="36"/>
      <c r="S48" s="38"/>
      <c r="T48" s="39"/>
      <c r="U48" s="40"/>
      <c r="W48" s="41"/>
      <c r="X48" s="42"/>
    </row>
    <row r="49" spans="13:24" ht="14.25" customHeight="1">
      <c r="M49" s="36"/>
      <c r="N49" s="37"/>
      <c r="R49" s="36"/>
      <c r="S49" s="38"/>
      <c r="T49" s="39"/>
      <c r="U49" s="40"/>
      <c r="W49" s="41"/>
      <c r="X49" s="42"/>
    </row>
    <row r="50" spans="13:24" ht="14.25" customHeight="1">
      <c r="M50" s="36"/>
      <c r="N50" s="37"/>
      <c r="R50" s="36"/>
      <c r="S50" s="38"/>
      <c r="T50" s="39"/>
      <c r="U50" s="40"/>
      <c r="W50" s="41"/>
      <c r="X50" s="42"/>
    </row>
    <row r="51" spans="13:24" ht="14.25" customHeight="1">
      <c r="M51" s="36"/>
      <c r="N51" s="37"/>
      <c r="R51" s="36"/>
      <c r="S51" s="38"/>
      <c r="T51" s="39"/>
      <c r="U51" s="40"/>
      <c r="W51" s="41"/>
      <c r="X51" s="42"/>
    </row>
    <row r="52" spans="13:24" ht="14.25" customHeight="1">
      <c r="M52" s="36"/>
      <c r="N52" s="37"/>
      <c r="R52" s="36"/>
      <c r="S52" s="38"/>
      <c r="T52" s="39"/>
      <c r="U52" s="40"/>
      <c r="W52" s="41"/>
      <c r="X52" s="42"/>
    </row>
    <row r="53" spans="13:24" ht="14.25" customHeight="1">
      <c r="M53" s="36"/>
      <c r="N53" s="37"/>
      <c r="R53" s="36"/>
      <c r="S53" s="38"/>
      <c r="T53" s="39"/>
      <c r="U53" s="40"/>
      <c r="W53" s="41"/>
      <c r="X53" s="42"/>
    </row>
    <row r="54" spans="13:24" ht="14.25" customHeight="1">
      <c r="M54" s="36"/>
      <c r="N54" s="37"/>
      <c r="R54" s="36"/>
      <c r="S54" s="38"/>
      <c r="T54" s="39"/>
      <c r="U54" s="40"/>
      <c r="W54" s="41"/>
      <c r="X54" s="42"/>
    </row>
    <row r="55" spans="13:24" ht="14.25" customHeight="1">
      <c r="M55" s="36"/>
      <c r="N55" s="37"/>
      <c r="R55" s="36"/>
      <c r="S55" s="38"/>
      <c r="T55" s="39"/>
      <c r="U55" s="40"/>
      <c r="W55" s="41"/>
      <c r="X55" s="42"/>
    </row>
    <row r="56" spans="13:24" ht="14.25" customHeight="1">
      <c r="M56" s="36"/>
      <c r="N56" s="37"/>
      <c r="R56" s="36"/>
      <c r="S56" s="38"/>
      <c r="T56" s="39"/>
      <c r="U56" s="40"/>
      <c r="W56" s="41"/>
      <c r="X56" s="42"/>
    </row>
    <row r="57" spans="13:24" ht="14.25" customHeight="1">
      <c r="M57" s="36"/>
      <c r="N57" s="37"/>
      <c r="R57" s="36"/>
      <c r="S57" s="38"/>
      <c r="T57" s="39"/>
      <c r="U57" s="40"/>
      <c r="W57" s="41"/>
      <c r="X57" s="42"/>
    </row>
    <row r="58" spans="13:24" ht="14.25" customHeight="1">
      <c r="M58" s="36"/>
      <c r="N58" s="37"/>
      <c r="R58" s="36"/>
      <c r="S58" s="38"/>
      <c r="T58" s="39"/>
      <c r="U58" s="40"/>
      <c r="W58" s="41"/>
      <c r="X58" s="42"/>
    </row>
    <row r="59" spans="13:24" ht="14.25" customHeight="1">
      <c r="M59" s="36"/>
      <c r="N59" s="37"/>
      <c r="R59" s="36"/>
      <c r="S59" s="38"/>
      <c r="T59" s="39"/>
      <c r="U59" s="40"/>
      <c r="W59" s="41"/>
      <c r="X59" s="42"/>
    </row>
    <row r="60" spans="13:24" ht="14.25" customHeight="1">
      <c r="M60" s="36"/>
      <c r="N60" s="37"/>
      <c r="R60" s="36"/>
      <c r="S60" s="38"/>
      <c r="T60" s="39"/>
      <c r="U60" s="40"/>
      <c r="W60" s="41"/>
      <c r="X60" s="42"/>
    </row>
    <row r="61" spans="13:24" ht="14.25" customHeight="1">
      <c r="M61" s="36"/>
      <c r="N61" s="37"/>
      <c r="R61" s="36"/>
      <c r="S61" s="38"/>
      <c r="T61" s="39"/>
      <c r="U61" s="40"/>
      <c r="W61" s="41"/>
      <c r="X61" s="42"/>
    </row>
    <row r="62" spans="13:24" ht="14.25" customHeight="1">
      <c r="M62" s="36"/>
      <c r="N62" s="37"/>
      <c r="R62" s="36"/>
      <c r="S62" s="38"/>
      <c r="T62" s="39"/>
      <c r="U62" s="40"/>
      <c r="W62" s="41"/>
      <c r="X62" s="42"/>
    </row>
    <row r="63" spans="13:24" ht="14.25" customHeight="1">
      <c r="M63" s="36"/>
      <c r="N63" s="37"/>
      <c r="R63" s="36"/>
      <c r="S63" s="38"/>
      <c r="T63" s="39"/>
      <c r="U63" s="40"/>
      <c r="W63" s="41"/>
      <c r="X63" s="42"/>
    </row>
    <row r="64" spans="13:24" ht="14.25" customHeight="1">
      <c r="M64" s="36"/>
      <c r="N64" s="37"/>
      <c r="R64" s="36"/>
      <c r="S64" s="38"/>
      <c r="T64" s="39"/>
      <c r="U64" s="40"/>
      <c r="W64" s="41"/>
      <c r="X64" s="42"/>
    </row>
    <row r="65" spans="13:24" ht="14.25" customHeight="1">
      <c r="M65" s="36"/>
      <c r="N65" s="37"/>
      <c r="R65" s="36"/>
      <c r="S65" s="38"/>
      <c r="T65" s="39"/>
      <c r="U65" s="40"/>
      <c r="W65" s="41"/>
      <c r="X65" s="42"/>
    </row>
    <row r="66" spans="13:24" ht="14.25" customHeight="1">
      <c r="M66" s="36"/>
      <c r="N66" s="37"/>
      <c r="R66" s="36"/>
      <c r="S66" s="38"/>
      <c r="T66" s="39"/>
      <c r="U66" s="40"/>
      <c r="W66" s="41"/>
      <c r="X66" s="42"/>
    </row>
    <row r="67" spans="13:24" ht="14.25" customHeight="1">
      <c r="M67" s="36"/>
      <c r="N67" s="37"/>
      <c r="R67" s="36"/>
      <c r="S67" s="38"/>
      <c r="T67" s="39"/>
      <c r="U67" s="40"/>
      <c r="W67" s="41"/>
      <c r="X67" s="42"/>
    </row>
    <row r="68" spans="13:24" ht="14.25" customHeight="1">
      <c r="M68" s="36"/>
      <c r="N68" s="37"/>
      <c r="R68" s="36"/>
      <c r="S68" s="38"/>
      <c r="T68" s="39"/>
      <c r="U68" s="40"/>
      <c r="W68" s="41"/>
      <c r="X68" s="42"/>
    </row>
    <row r="69" spans="13:24" ht="14.25" customHeight="1">
      <c r="M69" s="36"/>
      <c r="N69" s="37"/>
      <c r="R69" s="36"/>
      <c r="S69" s="38"/>
      <c r="T69" s="39"/>
      <c r="U69" s="40"/>
      <c r="W69" s="41"/>
      <c r="X69" s="42"/>
    </row>
    <row r="70" spans="13:24" ht="14.25" customHeight="1">
      <c r="M70" s="36"/>
      <c r="N70" s="37"/>
      <c r="R70" s="36"/>
      <c r="S70" s="38"/>
      <c r="T70" s="39"/>
      <c r="U70" s="40"/>
      <c r="W70" s="41"/>
      <c r="X70" s="42"/>
    </row>
    <row r="71" spans="13:24" ht="14.25" customHeight="1">
      <c r="M71" s="36"/>
      <c r="N71" s="37"/>
      <c r="R71" s="36"/>
      <c r="S71" s="38"/>
      <c r="T71" s="39"/>
      <c r="U71" s="40"/>
      <c r="W71" s="41"/>
      <c r="X71" s="42"/>
    </row>
    <row r="72" spans="13:24" ht="14.25" customHeight="1">
      <c r="M72" s="36"/>
      <c r="N72" s="37"/>
      <c r="R72" s="36"/>
      <c r="S72" s="38"/>
      <c r="T72" s="39"/>
      <c r="U72" s="40"/>
      <c r="W72" s="41"/>
      <c r="X72" s="42"/>
    </row>
    <row r="73" spans="13:24" ht="14.25" customHeight="1">
      <c r="M73" s="36"/>
      <c r="N73" s="37"/>
      <c r="R73" s="36"/>
      <c r="S73" s="38"/>
      <c r="T73" s="39"/>
      <c r="U73" s="40"/>
      <c r="W73" s="41"/>
      <c r="X73" s="42"/>
    </row>
    <row r="74" spans="13:24" ht="14.25" customHeight="1">
      <c r="M74" s="36"/>
      <c r="N74" s="37"/>
      <c r="R74" s="36"/>
      <c r="S74" s="38"/>
      <c r="T74" s="39"/>
      <c r="U74" s="40"/>
      <c r="W74" s="41"/>
      <c r="X74" s="42"/>
    </row>
    <row r="75" spans="13:24" ht="14.25" customHeight="1">
      <c r="M75" s="36"/>
      <c r="N75" s="37"/>
      <c r="R75" s="36"/>
      <c r="S75" s="38"/>
      <c r="T75" s="39"/>
      <c r="U75" s="40"/>
      <c r="W75" s="41"/>
      <c r="X75" s="42"/>
    </row>
    <row r="76" spans="13:24" ht="14.25" customHeight="1">
      <c r="M76" s="36"/>
      <c r="N76" s="37"/>
      <c r="R76" s="36"/>
      <c r="S76" s="38"/>
      <c r="T76" s="39"/>
      <c r="U76" s="40"/>
      <c r="W76" s="41"/>
      <c r="X76" s="42"/>
    </row>
    <row r="77" spans="13:24" ht="14.25" customHeight="1">
      <c r="M77" s="36"/>
      <c r="N77" s="37"/>
      <c r="R77" s="36"/>
      <c r="S77" s="38"/>
      <c r="T77" s="39"/>
      <c r="U77" s="40"/>
      <c r="W77" s="41"/>
      <c r="X77" s="42"/>
    </row>
    <row r="78" spans="13:24" ht="14.25" customHeight="1">
      <c r="M78" s="36"/>
      <c r="N78" s="37"/>
      <c r="R78" s="36"/>
      <c r="S78" s="38"/>
      <c r="T78" s="39"/>
      <c r="U78" s="40"/>
      <c r="W78" s="41"/>
      <c r="X78" s="42"/>
    </row>
    <row r="79" spans="13:24" ht="14.25" customHeight="1">
      <c r="M79" s="36"/>
      <c r="N79" s="37"/>
      <c r="R79" s="36"/>
      <c r="S79" s="38"/>
      <c r="T79" s="39"/>
      <c r="U79" s="40"/>
      <c r="W79" s="41"/>
      <c r="X79" s="42"/>
    </row>
    <row r="80" spans="13:24" ht="14.25" customHeight="1">
      <c r="M80" s="36"/>
      <c r="N80" s="37"/>
      <c r="R80" s="36"/>
      <c r="S80" s="38"/>
      <c r="T80" s="39"/>
      <c r="U80" s="40"/>
      <c r="W80" s="41"/>
      <c r="X80" s="42"/>
    </row>
    <row r="81" spans="13:24" ht="14.25" customHeight="1">
      <c r="M81" s="36"/>
      <c r="N81" s="37"/>
      <c r="R81" s="36"/>
      <c r="S81" s="38"/>
      <c r="T81" s="39"/>
      <c r="U81" s="40"/>
      <c r="W81" s="41"/>
      <c r="X81" s="42"/>
    </row>
    <row r="82" spans="13:24" ht="14.25" customHeight="1">
      <c r="M82" s="36"/>
      <c r="N82" s="37"/>
      <c r="R82" s="36"/>
      <c r="S82" s="38"/>
      <c r="T82" s="39"/>
      <c r="U82" s="40"/>
      <c r="W82" s="41"/>
      <c r="X82" s="42"/>
    </row>
    <row r="83" spans="13:24" ht="14.25" customHeight="1">
      <c r="M83" s="36"/>
      <c r="N83" s="37"/>
      <c r="R83" s="36"/>
      <c r="S83" s="38"/>
      <c r="T83" s="39"/>
      <c r="U83" s="40"/>
      <c r="W83" s="41"/>
      <c r="X83" s="42"/>
    </row>
    <row r="84" spans="13:24" ht="14.25" customHeight="1">
      <c r="M84" s="36"/>
      <c r="N84" s="37"/>
      <c r="R84" s="36"/>
      <c r="S84" s="38"/>
      <c r="T84" s="39"/>
      <c r="U84" s="40"/>
      <c r="W84" s="41"/>
      <c r="X84" s="42"/>
    </row>
    <row r="85" spans="13:24" ht="14.25" customHeight="1">
      <c r="M85" s="36"/>
      <c r="N85" s="37"/>
      <c r="R85" s="36"/>
      <c r="S85" s="38"/>
      <c r="T85" s="39"/>
      <c r="U85" s="40"/>
      <c r="W85" s="41"/>
      <c r="X85" s="42"/>
    </row>
    <row r="86" spans="13:24" ht="14.25" customHeight="1">
      <c r="M86" s="36"/>
      <c r="N86" s="37"/>
      <c r="R86" s="36"/>
      <c r="S86" s="38"/>
      <c r="T86" s="39"/>
      <c r="U86" s="40"/>
      <c r="W86" s="41"/>
      <c r="X86" s="42"/>
    </row>
    <row r="87" spans="13:24" ht="14.25" customHeight="1">
      <c r="M87" s="36"/>
      <c r="N87" s="37"/>
      <c r="R87" s="36"/>
      <c r="S87" s="38"/>
      <c r="T87" s="39"/>
      <c r="U87" s="40"/>
      <c r="W87" s="41"/>
      <c r="X87" s="42"/>
    </row>
    <row r="88" spans="13:24" ht="14.25" customHeight="1">
      <c r="M88" s="36"/>
      <c r="N88" s="37"/>
      <c r="R88" s="36"/>
      <c r="S88" s="38"/>
      <c r="T88" s="39"/>
      <c r="U88" s="40"/>
      <c r="W88" s="41"/>
      <c r="X88" s="42"/>
    </row>
    <row r="89" spans="13:24" ht="14.25" customHeight="1">
      <c r="M89" s="36"/>
      <c r="N89" s="37"/>
      <c r="R89" s="36"/>
      <c r="S89" s="38"/>
      <c r="T89" s="39"/>
      <c r="U89" s="40"/>
      <c r="W89" s="41"/>
      <c r="X89" s="42"/>
    </row>
    <row r="90" spans="13:24" ht="14.25" customHeight="1">
      <c r="M90" s="36"/>
      <c r="N90" s="37"/>
      <c r="R90" s="36"/>
      <c r="S90" s="38"/>
      <c r="T90" s="39"/>
      <c r="U90" s="40"/>
      <c r="W90" s="41"/>
      <c r="X90" s="42"/>
    </row>
    <row r="91" spans="13:24" ht="14.25" customHeight="1">
      <c r="M91" s="36"/>
      <c r="N91" s="37"/>
      <c r="R91" s="36"/>
      <c r="S91" s="38"/>
      <c r="T91" s="39"/>
      <c r="U91" s="40"/>
      <c r="W91" s="41"/>
      <c r="X91" s="42"/>
    </row>
    <row r="92" spans="13:24" ht="14.25" customHeight="1">
      <c r="M92" s="36"/>
      <c r="N92" s="37"/>
      <c r="R92" s="36"/>
      <c r="S92" s="38"/>
      <c r="T92" s="39"/>
      <c r="U92" s="40"/>
      <c r="W92" s="41"/>
      <c r="X92" s="42"/>
    </row>
    <row r="93" spans="13:24" ht="14.25" customHeight="1">
      <c r="M93" s="36"/>
      <c r="N93" s="37"/>
      <c r="R93" s="36"/>
      <c r="S93" s="38"/>
      <c r="T93" s="39"/>
      <c r="U93" s="40"/>
      <c r="W93" s="41"/>
      <c r="X93" s="42"/>
    </row>
    <row r="94" spans="13:24" ht="14.25" customHeight="1">
      <c r="M94" s="36"/>
      <c r="N94" s="37"/>
      <c r="R94" s="36"/>
      <c r="S94" s="38"/>
      <c r="T94" s="39"/>
      <c r="U94" s="40"/>
      <c r="W94" s="41"/>
      <c r="X94" s="42"/>
    </row>
    <row r="95" spans="13:24" ht="14.25" customHeight="1">
      <c r="M95" s="36"/>
      <c r="N95" s="37"/>
      <c r="R95" s="36"/>
      <c r="S95" s="38"/>
      <c r="T95" s="39"/>
      <c r="U95" s="40"/>
      <c r="W95" s="41"/>
      <c r="X95" s="42"/>
    </row>
    <row r="96" spans="13:24" ht="14.25" customHeight="1">
      <c r="M96" s="36"/>
      <c r="N96" s="37"/>
      <c r="R96" s="36"/>
      <c r="S96" s="38"/>
      <c r="T96" s="39"/>
      <c r="U96" s="40"/>
      <c r="W96" s="41"/>
      <c r="X96" s="42"/>
    </row>
    <row r="97" spans="13:24" ht="14.25" customHeight="1">
      <c r="M97" s="36"/>
      <c r="N97" s="37"/>
      <c r="R97" s="36"/>
      <c r="S97" s="38"/>
      <c r="T97" s="39"/>
      <c r="U97" s="40"/>
      <c r="W97" s="41"/>
      <c r="X97" s="42"/>
    </row>
    <row r="98" spans="13:24" ht="14.25" customHeight="1">
      <c r="M98" s="36"/>
      <c r="N98" s="37"/>
      <c r="R98" s="36"/>
      <c r="S98" s="38"/>
      <c r="T98" s="39"/>
      <c r="U98" s="40"/>
      <c r="W98" s="41"/>
      <c r="X98" s="42"/>
    </row>
    <row r="99" spans="13:24" ht="14.25" customHeight="1">
      <c r="M99" s="36"/>
      <c r="N99" s="37"/>
      <c r="R99" s="36"/>
      <c r="S99" s="38"/>
      <c r="T99" s="39"/>
      <c r="U99" s="40"/>
      <c r="W99" s="41"/>
      <c r="X99" s="42"/>
    </row>
    <row r="100" spans="13:24" ht="14.25" customHeight="1">
      <c r="M100" s="36"/>
      <c r="N100" s="37"/>
      <c r="R100" s="36"/>
      <c r="S100" s="38"/>
      <c r="T100" s="39"/>
      <c r="U100" s="40"/>
      <c r="W100" s="41"/>
      <c r="X100" s="42"/>
    </row>
    <row r="101" spans="13:24" ht="14.25" customHeight="1">
      <c r="M101" s="36"/>
      <c r="N101" s="37"/>
      <c r="R101" s="36"/>
      <c r="S101" s="38"/>
      <c r="T101" s="39"/>
      <c r="U101" s="40"/>
      <c r="W101" s="41"/>
      <c r="X101" s="42"/>
    </row>
    <row r="102" spans="13:24" ht="14.25" customHeight="1">
      <c r="M102" s="36"/>
      <c r="N102" s="37"/>
      <c r="R102" s="36"/>
      <c r="S102" s="38"/>
      <c r="T102" s="39"/>
      <c r="U102" s="40"/>
      <c r="W102" s="41"/>
      <c r="X102" s="42"/>
    </row>
    <row r="103" spans="13:24" ht="14.25" customHeight="1">
      <c r="M103" s="36"/>
      <c r="N103" s="37"/>
      <c r="R103" s="36"/>
      <c r="S103" s="38"/>
      <c r="T103" s="39"/>
      <c r="U103" s="40"/>
      <c r="W103" s="41"/>
      <c r="X103" s="42"/>
    </row>
    <row r="104" spans="13:24" ht="14.25" customHeight="1">
      <c r="M104" s="36"/>
      <c r="N104" s="37"/>
      <c r="R104" s="36"/>
      <c r="S104" s="38"/>
      <c r="T104" s="39"/>
      <c r="U104" s="40"/>
      <c r="W104" s="41"/>
      <c r="X104" s="42"/>
    </row>
    <row r="105" spans="13:24" ht="14.25" customHeight="1">
      <c r="M105" s="36"/>
      <c r="N105" s="37"/>
      <c r="R105" s="36"/>
      <c r="S105" s="38"/>
      <c r="T105" s="39"/>
      <c r="U105" s="40"/>
      <c r="W105" s="41"/>
      <c r="X105" s="42"/>
    </row>
    <row r="106" spans="13:24" ht="14.25" customHeight="1">
      <c r="M106" s="36"/>
      <c r="N106" s="37"/>
      <c r="R106" s="36"/>
      <c r="S106" s="38"/>
      <c r="T106" s="39"/>
      <c r="U106" s="40"/>
      <c r="W106" s="41"/>
      <c r="X106" s="42"/>
    </row>
    <row r="107" spans="13:24" ht="14.25" customHeight="1">
      <c r="M107" s="36"/>
      <c r="N107" s="37"/>
      <c r="R107" s="36"/>
      <c r="S107" s="38"/>
      <c r="T107" s="39"/>
      <c r="U107" s="40"/>
      <c r="W107" s="41"/>
      <c r="X107" s="42"/>
    </row>
    <row r="108" spans="13:24" ht="14.25" customHeight="1">
      <c r="M108" s="36"/>
      <c r="N108" s="37"/>
      <c r="R108" s="36"/>
      <c r="S108" s="38"/>
      <c r="T108" s="39"/>
      <c r="U108" s="40"/>
      <c r="W108" s="41"/>
      <c r="X108" s="42"/>
    </row>
    <row r="109" spans="13:24" ht="14.25" customHeight="1">
      <c r="M109" s="36"/>
      <c r="N109" s="37"/>
      <c r="R109" s="36"/>
      <c r="S109" s="38"/>
      <c r="T109" s="39"/>
      <c r="U109" s="40"/>
      <c r="W109" s="41"/>
      <c r="X109" s="42"/>
    </row>
    <row r="110" spans="13:24" ht="14.25" customHeight="1">
      <c r="M110" s="36"/>
      <c r="N110" s="37"/>
      <c r="R110" s="36"/>
      <c r="S110" s="38"/>
      <c r="T110" s="39"/>
      <c r="U110" s="40"/>
      <c r="W110" s="41"/>
      <c r="X110" s="42"/>
    </row>
    <row r="111" spans="13:24" ht="14.25" customHeight="1">
      <c r="M111" s="36"/>
      <c r="N111" s="37"/>
      <c r="R111" s="36"/>
      <c r="S111" s="38"/>
      <c r="T111" s="39"/>
      <c r="U111" s="40"/>
      <c r="W111" s="41"/>
      <c r="X111" s="42"/>
    </row>
    <row r="112" spans="13:24" ht="14.25" customHeight="1">
      <c r="M112" s="36"/>
      <c r="N112" s="37"/>
      <c r="R112" s="36"/>
      <c r="S112" s="38"/>
      <c r="T112" s="39"/>
      <c r="U112" s="40"/>
      <c r="W112" s="41"/>
      <c r="X112" s="42"/>
    </row>
    <row r="113" spans="13:24" ht="14.25" customHeight="1">
      <c r="M113" s="36"/>
      <c r="N113" s="37"/>
      <c r="R113" s="36"/>
      <c r="S113" s="38"/>
      <c r="T113" s="39"/>
      <c r="U113" s="40"/>
      <c r="W113" s="41"/>
      <c r="X113" s="42"/>
    </row>
    <row r="114" spans="13:24" ht="14.25" customHeight="1">
      <c r="M114" s="36"/>
      <c r="N114" s="37"/>
      <c r="R114" s="36"/>
      <c r="S114" s="38"/>
      <c r="T114" s="39"/>
      <c r="U114" s="40"/>
      <c r="W114" s="41"/>
      <c r="X114" s="42"/>
    </row>
    <row r="115" spans="13:24" ht="14.25" customHeight="1">
      <c r="M115" s="36"/>
      <c r="N115" s="37"/>
      <c r="R115" s="36"/>
      <c r="S115" s="38"/>
      <c r="T115" s="39"/>
      <c r="U115" s="40"/>
      <c r="W115" s="41"/>
      <c r="X115" s="42"/>
    </row>
    <row r="116" spans="13:24" ht="14.25" customHeight="1">
      <c r="M116" s="36"/>
      <c r="N116" s="37"/>
      <c r="R116" s="36"/>
      <c r="S116" s="38"/>
      <c r="T116" s="39"/>
      <c r="U116" s="40"/>
      <c r="W116" s="41"/>
      <c r="X116" s="42"/>
    </row>
    <row r="117" spans="13:24" ht="14.25" customHeight="1">
      <c r="M117" s="36"/>
      <c r="N117" s="37"/>
      <c r="R117" s="36"/>
      <c r="S117" s="38"/>
      <c r="T117" s="39"/>
      <c r="U117" s="40"/>
      <c r="W117" s="41"/>
      <c r="X117" s="42"/>
    </row>
    <row r="118" spans="13:24" ht="14.25" customHeight="1">
      <c r="M118" s="36"/>
      <c r="N118" s="37"/>
      <c r="R118" s="36"/>
      <c r="S118" s="38"/>
      <c r="T118" s="39"/>
      <c r="U118" s="40"/>
      <c r="W118" s="41"/>
      <c r="X118" s="42"/>
    </row>
    <row r="119" spans="13:24" ht="14.25" customHeight="1">
      <c r="M119" s="36"/>
      <c r="N119" s="37"/>
      <c r="R119" s="36"/>
      <c r="S119" s="38"/>
      <c r="T119" s="39"/>
      <c r="U119" s="40"/>
      <c r="W119" s="41"/>
      <c r="X119" s="42"/>
    </row>
    <row r="120" spans="13:24" ht="14.25" customHeight="1">
      <c r="M120" s="36"/>
      <c r="N120" s="37"/>
      <c r="R120" s="36"/>
      <c r="S120" s="38"/>
      <c r="T120" s="39"/>
      <c r="U120" s="40"/>
      <c r="W120" s="41"/>
      <c r="X120" s="42"/>
    </row>
    <row r="121" spans="13:24" ht="14.25" customHeight="1">
      <c r="M121" s="36"/>
      <c r="N121" s="37"/>
      <c r="R121" s="36"/>
      <c r="S121" s="38"/>
      <c r="T121" s="39"/>
      <c r="U121" s="40"/>
      <c r="W121" s="41"/>
      <c r="X121" s="42"/>
    </row>
    <row r="122" spans="13:24" ht="14.25" customHeight="1">
      <c r="M122" s="36"/>
      <c r="N122" s="37"/>
      <c r="R122" s="36"/>
      <c r="S122" s="38"/>
      <c r="T122" s="39"/>
      <c r="U122" s="40"/>
      <c r="W122" s="41"/>
      <c r="X122" s="42"/>
    </row>
    <row r="123" spans="13:24" ht="14.25" customHeight="1">
      <c r="M123" s="36"/>
      <c r="N123" s="37"/>
      <c r="R123" s="36"/>
      <c r="S123" s="38"/>
      <c r="T123" s="39"/>
      <c r="U123" s="40"/>
      <c r="W123" s="41"/>
      <c r="X123" s="42"/>
    </row>
    <row r="124" spans="13:24" ht="14.25" customHeight="1">
      <c r="M124" s="36"/>
      <c r="N124" s="37"/>
      <c r="R124" s="36"/>
      <c r="S124" s="38"/>
      <c r="T124" s="39"/>
      <c r="U124" s="40"/>
      <c r="W124" s="41"/>
      <c r="X124" s="42"/>
    </row>
    <row r="125" spans="13:24" ht="14.25" customHeight="1">
      <c r="M125" s="36"/>
      <c r="N125" s="37"/>
      <c r="R125" s="36"/>
      <c r="S125" s="38"/>
      <c r="T125" s="39"/>
      <c r="U125" s="40"/>
      <c r="W125" s="41"/>
      <c r="X125" s="42"/>
    </row>
    <row r="126" spans="13:24" ht="14.25" customHeight="1">
      <c r="M126" s="36"/>
      <c r="N126" s="37"/>
      <c r="R126" s="36"/>
      <c r="S126" s="38"/>
      <c r="T126" s="39"/>
      <c r="U126" s="40"/>
      <c r="W126" s="41"/>
      <c r="X126" s="42"/>
    </row>
    <row r="127" spans="13:24" ht="14.25" customHeight="1">
      <c r="M127" s="36"/>
      <c r="N127" s="37"/>
      <c r="R127" s="36"/>
      <c r="S127" s="38"/>
      <c r="T127" s="39"/>
      <c r="U127" s="40"/>
      <c r="W127" s="41"/>
      <c r="X127" s="42"/>
    </row>
    <row r="128" spans="13:24" ht="14.25" customHeight="1">
      <c r="M128" s="36"/>
      <c r="N128" s="37"/>
      <c r="R128" s="36"/>
      <c r="S128" s="38"/>
      <c r="T128" s="39"/>
      <c r="U128" s="40"/>
      <c r="W128" s="41"/>
      <c r="X128" s="42"/>
    </row>
    <row r="129" spans="13:24" ht="14.25" customHeight="1">
      <c r="M129" s="36"/>
      <c r="N129" s="37"/>
      <c r="R129" s="36"/>
      <c r="S129" s="38"/>
      <c r="T129" s="39"/>
      <c r="U129" s="40"/>
      <c r="W129" s="41"/>
      <c r="X129" s="42"/>
    </row>
    <row r="130" spans="13:24" ht="14.25" customHeight="1">
      <c r="M130" s="36"/>
      <c r="N130" s="37"/>
      <c r="R130" s="36"/>
      <c r="S130" s="38"/>
      <c r="T130" s="39"/>
      <c r="U130" s="40"/>
      <c r="W130" s="41"/>
      <c r="X130" s="42"/>
    </row>
    <row r="131" spans="13:24" ht="14.25" customHeight="1">
      <c r="M131" s="36"/>
      <c r="N131" s="37"/>
      <c r="R131" s="36"/>
      <c r="S131" s="38"/>
      <c r="T131" s="39"/>
      <c r="U131" s="40"/>
      <c r="W131" s="41"/>
      <c r="X131" s="42"/>
    </row>
    <row r="132" spans="13:24" ht="14.25" customHeight="1">
      <c r="M132" s="36"/>
      <c r="N132" s="37"/>
      <c r="R132" s="36"/>
      <c r="S132" s="38"/>
      <c r="T132" s="39"/>
      <c r="U132" s="40"/>
      <c r="W132" s="41"/>
      <c r="X132" s="42"/>
    </row>
    <row r="133" spans="13:24" ht="14.25" customHeight="1">
      <c r="M133" s="36"/>
      <c r="N133" s="37"/>
      <c r="R133" s="36"/>
      <c r="S133" s="38"/>
      <c r="T133" s="39"/>
      <c r="U133" s="40"/>
      <c r="W133" s="41"/>
      <c r="X133" s="42"/>
    </row>
    <row r="134" spans="13:24" ht="14.25" customHeight="1">
      <c r="M134" s="36"/>
      <c r="N134" s="37"/>
      <c r="R134" s="36"/>
      <c r="S134" s="38"/>
      <c r="T134" s="39"/>
      <c r="U134" s="40"/>
      <c r="W134" s="41"/>
      <c r="X134" s="42"/>
    </row>
    <row r="135" spans="13:24" ht="14.25" customHeight="1">
      <c r="M135" s="36"/>
      <c r="N135" s="37"/>
      <c r="R135" s="36"/>
      <c r="S135" s="38"/>
      <c r="T135" s="39"/>
      <c r="U135" s="40"/>
      <c r="W135" s="41"/>
      <c r="X135" s="42"/>
    </row>
    <row r="136" spans="13:24" ht="14.25" customHeight="1">
      <c r="M136" s="36"/>
      <c r="N136" s="37"/>
      <c r="R136" s="36"/>
      <c r="S136" s="38"/>
      <c r="T136" s="39"/>
      <c r="U136" s="40"/>
      <c r="W136" s="41"/>
      <c r="X136" s="42"/>
    </row>
    <row r="137" spans="13:24" ht="14.25" customHeight="1">
      <c r="M137" s="36"/>
      <c r="N137" s="37"/>
      <c r="R137" s="36"/>
      <c r="S137" s="38"/>
      <c r="T137" s="39"/>
      <c r="U137" s="40"/>
      <c r="W137" s="41"/>
      <c r="X137" s="42"/>
    </row>
    <row r="138" spans="13:24" ht="14.25" customHeight="1">
      <c r="M138" s="36"/>
      <c r="N138" s="37"/>
      <c r="R138" s="36"/>
      <c r="S138" s="38"/>
      <c r="T138" s="39"/>
      <c r="U138" s="40"/>
      <c r="W138" s="41"/>
      <c r="X138" s="42"/>
    </row>
    <row r="139" spans="13:24" ht="14.25" customHeight="1">
      <c r="M139" s="36"/>
      <c r="N139" s="37"/>
      <c r="R139" s="36"/>
      <c r="S139" s="38"/>
      <c r="T139" s="39"/>
      <c r="U139" s="40"/>
      <c r="W139" s="41"/>
      <c r="X139" s="42"/>
    </row>
    <row r="140" spans="13:24" ht="14.25" customHeight="1">
      <c r="M140" s="36"/>
      <c r="N140" s="37"/>
      <c r="R140" s="36"/>
      <c r="S140" s="38"/>
      <c r="T140" s="39"/>
      <c r="U140" s="40"/>
      <c r="W140" s="41"/>
      <c r="X140" s="42"/>
    </row>
    <row r="141" spans="13:24" ht="14.25" customHeight="1">
      <c r="M141" s="36"/>
      <c r="N141" s="37"/>
      <c r="R141" s="36"/>
      <c r="S141" s="38"/>
      <c r="T141" s="39"/>
      <c r="U141" s="40"/>
      <c r="W141" s="41"/>
      <c r="X141" s="42"/>
    </row>
    <row r="142" spans="13:24" ht="14.25" customHeight="1">
      <c r="M142" s="36"/>
      <c r="N142" s="37"/>
      <c r="R142" s="36"/>
      <c r="S142" s="38"/>
      <c r="T142" s="39"/>
      <c r="U142" s="40"/>
      <c r="W142" s="41"/>
      <c r="X142" s="42"/>
    </row>
    <row r="143" spans="13:24" ht="14.25" customHeight="1">
      <c r="M143" s="36"/>
      <c r="N143" s="37"/>
      <c r="R143" s="36"/>
      <c r="S143" s="38"/>
      <c r="T143" s="39"/>
      <c r="U143" s="40"/>
      <c r="W143" s="41"/>
      <c r="X143" s="42"/>
    </row>
    <row r="144" spans="13:24" ht="14.25" customHeight="1">
      <c r="M144" s="36"/>
      <c r="N144" s="37"/>
      <c r="R144" s="36"/>
      <c r="S144" s="38"/>
      <c r="T144" s="39"/>
      <c r="U144" s="40"/>
      <c r="W144" s="41"/>
      <c r="X144" s="42"/>
    </row>
    <row r="145" spans="13:24" ht="14.25" customHeight="1">
      <c r="M145" s="36"/>
      <c r="N145" s="37"/>
      <c r="R145" s="36"/>
      <c r="S145" s="38"/>
      <c r="T145" s="39"/>
      <c r="U145" s="40"/>
      <c r="W145" s="41"/>
      <c r="X145" s="42"/>
    </row>
    <row r="146" spans="13:24" ht="14.25" customHeight="1">
      <c r="M146" s="36"/>
      <c r="N146" s="37"/>
      <c r="R146" s="36"/>
      <c r="S146" s="38"/>
      <c r="T146" s="39"/>
      <c r="U146" s="40"/>
      <c r="W146" s="41"/>
      <c r="X146" s="42"/>
    </row>
    <row r="147" spans="13:24" ht="14.25" customHeight="1">
      <c r="M147" s="36"/>
      <c r="N147" s="37"/>
      <c r="R147" s="36"/>
      <c r="S147" s="38"/>
      <c r="T147" s="39"/>
      <c r="U147" s="40"/>
      <c r="W147" s="41"/>
      <c r="X147" s="42"/>
    </row>
    <row r="148" spans="13:24" ht="14.25" customHeight="1">
      <c r="M148" s="36"/>
      <c r="N148" s="37"/>
      <c r="R148" s="36"/>
      <c r="S148" s="38"/>
      <c r="T148" s="39"/>
      <c r="U148" s="40"/>
      <c r="W148" s="41"/>
      <c r="X148" s="42"/>
    </row>
    <row r="149" spans="13:24" ht="14.25" customHeight="1">
      <c r="M149" s="36"/>
      <c r="N149" s="37"/>
      <c r="R149" s="36"/>
      <c r="S149" s="38"/>
      <c r="T149" s="39"/>
      <c r="U149" s="40"/>
      <c r="W149" s="41"/>
      <c r="X149" s="42"/>
    </row>
    <row r="150" spans="13:24" ht="14.25" customHeight="1">
      <c r="M150" s="36"/>
      <c r="N150" s="37"/>
      <c r="R150" s="36"/>
      <c r="S150" s="38"/>
      <c r="T150" s="39"/>
      <c r="U150" s="40"/>
      <c r="W150" s="41"/>
      <c r="X150" s="42"/>
    </row>
    <row r="151" spans="13:24" ht="14.25" customHeight="1">
      <c r="M151" s="36"/>
      <c r="N151" s="37"/>
      <c r="R151" s="36"/>
      <c r="S151" s="38"/>
      <c r="T151" s="39"/>
      <c r="U151" s="40"/>
      <c r="W151" s="41"/>
      <c r="X151" s="42"/>
    </row>
    <row r="152" spans="13:24" ht="14.25" customHeight="1">
      <c r="M152" s="36"/>
      <c r="N152" s="37"/>
      <c r="R152" s="36"/>
      <c r="S152" s="38"/>
      <c r="T152" s="39"/>
      <c r="U152" s="40"/>
      <c r="W152" s="41"/>
      <c r="X152" s="42"/>
    </row>
    <row r="153" spans="13:24" ht="14.25" customHeight="1">
      <c r="M153" s="36"/>
      <c r="N153" s="37"/>
      <c r="R153" s="36"/>
      <c r="S153" s="38"/>
      <c r="T153" s="39"/>
      <c r="U153" s="40"/>
      <c r="W153" s="41"/>
      <c r="X153" s="42"/>
    </row>
    <row r="154" spans="13:24" ht="14.25" customHeight="1">
      <c r="M154" s="36"/>
      <c r="N154" s="37"/>
      <c r="R154" s="36"/>
      <c r="S154" s="38"/>
      <c r="T154" s="39"/>
      <c r="U154" s="40"/>
      <c r="W154" s="41"/>
      <c r="X154" s="42"/>
    </row>
    <row r="155" spans="13:24" ht="14.25" customHeight="1">
      <c r="M155" s="36"/>
      <c r="N155" s="37"/>
      <c r="R155" s="36"/>
      <c r="S155" s="38"/>
      <c r="T155" s="39"/>
      <c r="U155" s="40"/>
      <c r="W155" s="41"/>
      <c r="X155" s="42"/>
    </row>
    <row r="156" spans="13:24" ht="14.25" customHeight="1">
      <c r="M156" s="36"/>
      <c r="N156" s="37"/>
      <c r="R156" s="36"/>
      <c r="S156" s="38"/>
      <c r="T156" s="39"/>
      <c r="U156" s="40"/>
      <c r="W156" s="41"/>
      <c r="X156" s="42"/>
    </row>
    <row r="157" spans="13:24" ht="14.25" customHeight="1">
      <c r="M157" s="36"/>
      <c r="N157" s="37"/>
      <c r="R157" s="36"/>
      <c r="S157" s="38"/>
      <c r="T157" s="39"/>
      <c r="U157" s="40"/>
      <c r="W157" s="41"/>
      <c r="X157" s="42"/>
    </row>
    <row r="158" spans="13:24" ht="14.25" customHeight="1">
      <c r="M158" s="36"/>
      <c r="N158" s="37"/>
      <c r="R158" s="36"/>
      <c r="S158" s="38"/>
      <c r="T158" s="39"/>
      <c r="U158" s="40"/>
      <c r="W158" s="41"/>
      <c r="X158" s="42"/>
    </row>
    <row r="159" spans="13:24" ht="14.25" customHeight="1">
      <c r="M159" s="36"/>
      <c r="N159" s="37"/>
      <c r="R159" s="36"/>
      <c r="S159" s="38"/>
      <c r="T159" s="39"/>
      <c r="U159" s="40"/>
      <c r="W159" s="41"/>
      <c r="X159" s="42"/>
    </row>
    <row r="160" spans="13:24" ht="14.25" customHeight="1">
      <c r="M160" s="36"/>
      <c r="N160" s="37"/>
      <c r="R160" s="36"/>
      <c r="S160" s="38"/>
      <c r="T160" s="39"/>
      <c r="U160" s="40"/>
      <c r="W160" s="41"/>
      <c r="X160" s="42"/>
    </row>
    <row r="161" spans="13:24" ht="14.25" customHeight="1">
      <c r="M161" s="36"/>
      <c r="N161" s="37"/>
      <c r="R161" s="36"/>
      <c r="S161" s="38"/>
      <c r="T161" s="39"/>
      <c r="U161" s="40"/>
      <c r="W161" s="41"/>
      <c r="X161" s="42"/>
    </row>
    <row r="162" spans="13:24" ht="14.25" customHeight="1">
      <c r="M162" s="36"/>
      <c r="N162" s="37"/>
      <c r="R162" s="36"/>
      <c r="S162" s="38"/>
      <c r="T162" s="39"/>
      <c r="U162" s="40"/>
      <c r="W162" s="41"/>
      <c r="X162" s="42"/>
    </row>
    <row r="163" spans="13:24" ht="14.25" customHeight="1">
      <c r="M163" s="36"/>
      <c r="N163" s="37"/>
      <c r="R163" s="36"/>
      <c r="S163" s="38"/>
      <c r="T163" s="39"/>
      <c r="U163" s="40"/>
      <c r="W163" s="41"/>
      <c r="X163" s="42"/>
    </row>
    <row r="164" spans="13:24" ht="14.25" customHeight="1">
      <c r="M164" s="36"/>
      <c r="N164" s="37"/>
      <c r="R164" s="36"/>
      <c r="S164" s="38"/>
      <c r="T164" s="39"/>
      <c r="U164" s="40"/>
      <c r="W164" s="41"/>
      <c r="X164" s="42"/>
    </row>
    <row r="165" spans="13:24" ht="14.25" customHeight="1">
      <c r="M165" s="36"/>
      <c r="N165" s="37"/>
      <c r="R165" s="36"/>
      <c r="S165" s="38"/>
      <c r="T165" s="39"/>
      <c r="U165" s="40"/>
      <c r="W165" s="41"/>
      <c r="X165" s="42"/>
    </row>
    <row r="166" spans="13:24" ht="14.25" customHeight="1">
      <c r="M166" s="36"/>
      <c r="N166" s="37"/>
      <c r="R166" s="36"/>
      <c r="S166" s="38"/>
      <c r="T166" s="39"/>
      <c r="U166" s="40"/>
      <c r="W166" s="41"/>
      <c r="X166" s="42"/>
    </row>
    <row r="167" spans="13:24" ht="14.25" customHeight="1">
      <c r="M167" s="36"/>
      <c r="N167" s="37"/>
      <c r="R167" s="36"/>
      <c r="S167" s="38"/>
      <c r="T167" s="39"/>
      <c r="U167" s="40"/>
      <c r="W167" s="41"/>
      <c r="X167" s="42"/>
    </row>
    <row r="168" spans="13:24" ht="14.25" customHeight="1">
      <c r="M168" s="36"/>
      <c r="N168" s="37"/>
      <c r="R168" s="36"/>
      <c r="S168" s="38"/>
      <c r="T168" s="39"/>
      <c r="U168" s="40"/>
      <c r="W168" s="41"/>
      <c r="X168" s="42"/>
    </row>
    <row r="169" spans="13:24" ht="14.25" customHeight="1">
      <c r="M169" s="36"/>
      <c r="N169" s="37"/>
      <c r="R169" s="36"/>
      <c r="S169" s="38"/>
      <c r="T169" s="39"/>
      <c r="U169" s="40"/>
      <c r="W169" s="41"/>
      <c r="X169" s="42"/>
    </row>
    <row r="170" spans="13:24" ht="14.25" customHeight="1">
      <c r="M170" s="36"/>
      <c r="N170" s="37"/>
      <c r="R170" s="36"/>
      <c r="S170" s="38"/>
      <c r="T170" s="39"/>
      <c r="U170" s="40"/>
      <c r="W170" s="41"/>
      <c r="X170" s="42"/>
    </row>
    <row r="171" spans="13:24" ht="14.25" customHeight="1">
      <c r="M171" s="36"/>
      <c r="N171" s="37"/>
      <c r="R171" s="36"/>
      <c r="S171" s="38"/>
      <c r="T171" s="39"/>
      <c r="U171" s="40"/>
      <c r="W171" s="41"/>
      <c r="X171" s="42"/>
    </row>
    <row r="172" spans="13:24" ht="14.25" customHeight="1">
      <c r="M172" s="36"/>
      <c r="N172" s="37"/>
      <c r="R172" s="36"/>
      <c r="S172" s="38"/>
      <c r="T172" s="39"/>
      <c r="U172" s="40"/>
      <c r="W172" s="41"/>
      <c r="X172" s="42"/>
    </row>
    <row r="173" spans="13:24" ht="14.25" customHeight="1">
      <c r="M173" s="36"/>
      <c r="N173" s="37"/>
      <c r="R173" s="36"/>
      <c r="S173" s="38"/>
      <c r="T173" s="39"/>
      <c r="U173" s="40"/>
      <c r="W173" s="41"/>
      <c r="X173" s="42"/>
    </row>
    <row r="174" spans="13:24" ht="14.25" customHeight="1">
      <c r="M174" s="36"/>
      <c r="N174" s="37"/>
      <c r="R174" s="36"/>
      <c r="S174" s="38"/>
      <c r="T174" s="39"/>
      <c r="U174" s="40"/>
      <c r="W174" s="41"/>
      <c r="X174" s="42"/>
    </row>
    <row r="175" spans="13:24" ht="14.25" customHeight="1">
      <c r="M175" s="36"/>
      <c r="N175" s="37"/>
      <c r="R175" s="36"/>
      <c r="S175" s="38"/>
      <c r="T175" s="39"/>
      <c r="U175" s="40"/>
      <c r="W175" s="41"/>
      <c r="X175" s="42"/>
    </row>
    <row r="176" spans="13:24" ht="14.25" customHeight="1">
      <c r="M176" s="36"/>
      <c r="N176" s="37"/>
      <c r="R176" s="36"/>
      <c r="S176" s="38"/>
      <c r="T176" s="39"/>
      <c r="U176" s="40"/>
      <c r="W176" s="41"/>
      <c r="X176" s="42"/>
    </row>
    <row r="177" spans="13:24" ht="14.25" customHeight="1">
      <c r="M177" s="36"/>
      <c r="N177" s="37"/>
      <c r="R177" s="36"/>
      <c r="S177" s="38"/>
      <c r="T177" s="39"/>
      <c r="U177" s="40"/>
      <c r="W177" s="41"/>
      <c r="X177" s="42"/>
    </row>
    <row r="178" spans="13:24" ht="14.25" customHeight="1">
      <c r="M178" s="36"/>
      <c r="N178" s="37"/>
      <c r="R178" s="36"/>
      <c r="S178" s="38"/>
      <c r="T178" s="39"/>
      <c r="U178" s="40"/>
      <c r="W178" s="41"/>
      <c r="X178" s="42"/>
    </row>
    <row r="179" spans="13:24" ht="14.25" customHeight="1">
      <c r="M179" s="36"/>
      <c r="N179" s="37"/>
      <c r="R179" s="36"/>
      <c r="S179" s="38"/>
      <c r="T179" s="39"/>
      <c r="U179" s="40"/>
      <c r="W179" s="41"/>
      <c r="X179" s="42"/>
    </row>
    <row r="180" spans="13:24" ht="14.25" customHeight="1">
      <c r="M180" s="36"/>
      <c r="N180" s="37"/>
      <c r="R180" s="36"/>
      <c r="S180" s="38"/>
      <c r="T180" s="39"/>
      <c r="U180" s="40"/>
      <c r="W180" s="41"/>
      <c r="X180" s="42"/>
    </row>
    <row r="181" spans="13:24" ht="14.25" customHeight="1">
      <c r="M181" s="36"/>
      <c r="N181" s="37"/>
      <c r="R181" s="36"/>
      <c r="S181" s="38"/>
      <c r="T181" s="39"/>
      <c r="U181" s="40"/>
      <c r="W181" s="41"/>
      <c r="X181" s="42"/>
    </row>
    <row r="182" spans="13:24" ht="14.25" customHeight="1">
      <c r="M182" s="36"/>
      <c r="N182" s="37"/>
      <c r="R182" s="36"/>
      <c r="S182" s="38"/>
      <c r="T182" s="39"/>
      <c r="U182" s="40"/>
      <c r="W182" s="41"/>
      <c r="X182" s="42"/>
    </row>
    <row r="183" spans="13:24" ht="14.25" customHeight="1">
      <c r="M183" s="36"/>
      <c r="N183" s="37"/>
      <c r="R183" s="36"/>
      <c r="S183" s="38"/>
      <c r="T183" s="39"/>
      <c r="U183" s="40"/>
      <c r="W183" s="41"/>
      <c r="X183" s="42"/>
    </row>
    <row r="184" spans="13:24" ht="14.25" customHeight="1">
      <c r="M184" s="36"/>
      <c r="N184" s="37"/>
      <c r="R184" s="36"/>
      <c r="S184" s="38"/>
      <c r="T184" s="39"/>
      <c r="U184" s="40"/>
      <c r="W184" s="41"/>
      <c r="X184" s="42"/>
    </row>
    <row r="185" spans="13:24" ht="14.25" customHeight="1">
      <c r="M185" s="36"/>
      <c r="N185" s="37"/>
      <c r="R185" s="36"/>
      <c r="S185" s="38"/>
      <c r="T185" s="39"/>
      <c r="U185" s="40"/>
      <c r="W185" s="41"/>
      <c r="X185" s="42"/>
    </row>
    <row r="186" spans="13:24" ht="14.25" customHeight="1">
      <c r="M186" s="36"/>
      <c r="N186" s="37"/>
      <c r="R186" s="36"/>
      <c r="S186" s="38"/>
      <c r="T186" s="39"/>
      <c r="U186" s="40"/>
      <c r="W186" s="41"/>
      <c r="X186" s="42"/>
    </row>
    <row r="187" spans="13:24" ht="14.25" customHeight="1">
      <c r="M187" s="36"/>
      <c r="N187" s="37"/>
      <c r="R187" s="36"/>
      <c r="S187" s="38"/>
      <c r="T187" s="39"/>
      <c r="U187" s="40"/>
      <c r="W187" s="41"/>
      <c r="X187" s="42"/>
    </row>
    <row r="188" spans="13:24" ht="14.25" customHeight="1">
      <c r="M188" s="36"/>
      <c r="N188" s="37"/>
      <c r="R188" s="36"/>
      <c r="S188" s="38"/>
      <c r="T188" s="39"/>
      <c r="U188" s="40"/>
      <c r="W188" s="41"/>
      <c r="X188" s="42"/>
    </row>
    <row r="189" spans="13:24" ht="14.25" customHeight="1">
      <c r="M189" s="36"/>
      <c r="N189" s="37"/>
      <c r="R189" s="36"/>
      <c r="S189" s="38"/>
      <c r="T189" s="39"/>
      <c r="U189" s="40"/>
      <c r="W189" s="41"/>
      <c r="X189" s="42"/>
    </row>
    <row r="190" spans="13:24" ht="14.25" customHeight="1">
      <c r="M190" s="36"/>
      <c r="N190" s="37"/>
      <c r="R190" s="36"/>
      <c r="S190" s="38"/>
      <c r="T190" s="39"/>
      <c r="U190" s="40"/>
      <c r="W190" s="41"/>
      <c r="X190" s="42"/>
    </row>
    <row r="191" spans="13:24" ht="14.25" customHeight="1">
      <c r="M191" s="36"/>
      <c r="N191" s="37"/>
      <c r="R191" s="36"/>
      <c r="S191" s="38"/>
      <c r="T191" s="39"/>
      <c r="U191" s="40"/>
      <c r="W191" s="41"/>
      <c r="X191" s="42"/>
    </row>
    <row r="192" spans="13:24" ht="14.25" customHeight="1">
      <c r="M192" s="36"/>
      <c r="N192" s="37"/>
      <c r="R192" s="36"/>
      <c r="S192" s="38"/>
      <c r="T192" s="39"/>
      <c r="U192" s="40"/>
      <c r="W192" s="41"/>
      <c r="X192" s="42"/>
    </row>
    <row r="193" spans="13:24" ht="14.25" customHeight="1">
      <c r="M193" s="36"/>
      <c r="N193" s="37"/>
      <c r="R193" s="36"/>
      <c r="S193" s="38"/>
      <c r="T193" s="39"/>
      <c r="U193" s="40"/>
      <c r="W193" s="41"/>
      <c r="X193" s="42"/>
    </row>
    <row r="194" spans="13:24" ht="14.25" customHeight="1">
      <c r="M194" s="36"/>
      <c r="N194" s="37"/>
      <c r="R194" s="36"/>
      <c r="S194" s="38"/>
      <c r="T194" s="39"/>
      <c r="U194" s="40"/>
      <c r="W194" s="41"/>
      <c r="X194" s="42"/>
    </row>
    <row r="195" spans="13:24" ht="14.25" customHeight="1">
      <c r="M195" s="36"/>
      <c r="N195" s="37"/>
      <c r="R195" s="36"/>
      <c r="S195" s="38"/>
      <c r="T195" s="39"/>
      <c r="U195" s="40"/>
      <c r="W195" s="41"/>
      <c r="X195" s="42"/>
    </row>
    <row r="196" spans="13:24" ht="14.25" customHeight="1">
      <c r="M196" s="36"/>
      <c r="N196" s="37"/>
      <c r="R196" s="36"/>
      <c r="S196" s="38"/>
      <c r="T196" s="39"/>
      <c r="U196" s="40"/>
      <c r="W196" s="41"/>
      <c r="X196" s="42"/>
    </row>
    <row r="197" spans="13:24" ht="14.25" customHeight="1">
      <c r="M197" s="36"/>
      <c r="N197" s="37"/>
      <c r="R197" s="36"/>
      <c r="S197" s="38"/>
      <c r="T197" s="39"/>
      <c r="U197" s="40"/>
      <c r="W197" s="41"/>
      <c r="X197" s="42"/>
    </row>
    <row r="198" spans="13:24" ht="14.25" customHeight="1">
      <c r="M198" s="36"/>
      <c r="N198" s="37"/>
      <c r="R198" s="36"/>
      <c r="S198" s="38"/>
      <c r="T198" s="39"/>
      <c r="U198" s="40"/>
      <c r="W198" s="41"/>
      <c r="X198" s="42"/>
    </row>
    <row r="199" spans="13:24" ht="14.25" customHeight="1">
      <c r="M199" s="36"/>
      <c r="N199" s="37"/>
      <c r="R199" s="36"/>
      <c r="S199" s="38"/>
      <c r="T199" s="39"/>
      <c r="U199" s="40"/>
      <c r="W199" s="41"/>
      <c r="X199" s="42"/>
    </row>
    <row r="200" spans="13:24" ht="14.25" customHeight="1">
      <c r="M200" s="36"/>
      <c r="N200" s="37"/>
      <c r="R200" s="36"/>
      <c r="S200" s="38"/>
      <c r="T200" s="39"/>
      <c r="U200" s="40"/>
      <c r="W200" s="41"/>
      <c r="X200" s="42"/>
    </row>
    <row r="201" spans="13:24" ht="14.25" customHeight="1">
      <c r="M201" s="36"/>
      <c r="N201" s="37"/>
      <c r="R201" s="36"/>
      <c r="S201" s="38"/>
      <c r="T201" s="39"/>
      <c r="U201" s="40"/>
      <c r="W201" s="41"/>
      <c r="X201" s="42"/>
    </row>
    <row r="202" spans="13:24" ht="14.25" customHeight="1">
      <c r="M202" s="36"/>
      <c r="N202" s="37"/>
      <c r="R202" s="36"/>
      <c r="S202" s="38"/>
      <c r="T202" s="39"/>
      <c r="U202" s="40"/>
      <c r="W202" s="41"/>
      <c r="X202" s="42"/>
    </row>
    <row r="203" spans="13:24" ht="14.25" customHeight="1">
      <c r="M203" s="36"/>
      <c r="N203" s="37"/>
      <c r="R203" s="36"/>
      <c r="S203" s="38"/>
      <c r="T203" s="39"/>
      <c r="U203" s="40"/>
      <c r="W203" s="41"/>
      <c r="X203" s="42"/>
    </row>
    <row r="204" spans="13:24" ht="14.25" customHeight="1">
      <c r="M204" s="36"/>
      <c r="N204" s="37"/>
      <c r="R204" s="36"/>
      <c r="S204" s="38"/>
      <c r="T204" s="39"/>
      <c r="U204" s="40"/>
      <c r="W204" s="41"/>
      <c r="X204" s="42"/>
    </row>
    <row r="205" spans="13:24" ht="14.25" customHeight="1">
      <c r="M205" s="36"/>
      <c r="N205" s="37"/>
      <c r="R205" s="36"/>
      <c r="S205" s="38"/>
      <c r="T205" s="39"/>
      <c r="U205" s="40"/>
      <c r="W205" s="41"/>
      <c r="X205" s="42"/>
    </row>
    <row r="206" spans="13:24" ht="14.25" customHeight="1">
      <c r="M206" s="36"/>
      <c r="N206" s="37"/>
      <c r="R206" s="36"/>
      <c r="S206" s="38"/>
      <c r="T206" s="39"/>
      <c r="U206" s="40"/>
      <c r="W206" s="41"/>
      <c r="X206" s="42"/>
    </row>
    <row r="207" spans="13:24" ht="14.25" customHeight="1">
      <c r="M207" s="36"/>
      <c r="N207" s="37"/>
      <c r="R207" s="36"/>
      <c r="S207" s="38"/>
      <c r="T207" s="39"/>
      <c r="U207" s="40"/>
      <c r="W207" s="41"/>
      <c r="X207" s="42"/>
    </row>
    <row r="208" spans="13:24" ht="14.25" customHeight="1">
      <c r="M208" s="36"/>
      <c r="N208" s="37"/>
      <c r="R208" s="36"/>
      <c r="S208" s="38"/>
      <c r="T208" s="39"/>
      <c r="U208" s="40"/>
      <c r="W208" s="41"/>
      <c r="X208" s="42"/>
    </row>
    <row r="209" spans="13:24" ht="14.25" customHeight="1">
      <c r="M209" s="36"/>
      <c r="N209" s="37"/>
      <c r="R209" s="36"/>
      <c r="S209" s="38"/>
      <c r="T209" s="39"/>
      <c r="U209" s="40"/>
      <c r="W209" s="41"/>
      <c r="X209" s="42"/>
    </row>
    <row r="210" spans="13:24" ht="14.25" customHeight="1">
      <c r="M210" s="36"/>
      <c r="N210" s="37"/>
      <c r="R210" s="36"/>
      <c r="S210" s="38"/>
      <c r="T210" s="39"/>
      <c r="U210" s="40"/>
      <c r="W210" s="41"/>
      <c r="X210" s="42"/>
    </row>
    <row r="211" spans="13:24" ht="14.25" customHeight="1">
      <c r="M211" s="36"/>
      <c r="N211" s="37"/>
      <c r="R211" s="36"/>
      <c r="S211" s="38"/>
      <c r="T211" s="39"/>
      <c r="U211" s="40"/>
      <c r="W211" s="41"/>
      <c r="X211" s="42"/>
    </row>
    <row r="212" spans="13:24" ht="14.25" customHeight="1">
      <c r="M212" s="36"/>
      <c r="N212" s="37"/>
      <c r="R212" s="36"/>
      <c r="S212" s="38"/>
      <c r="T212" s="39"/>
      <c r="U212" s="40"/>
      <c r="W212" s="41"/>
      <c r="X212" s="42"/>
    </row>
    <row r="213" spans="13:24" ht="14.25" customHeight="1">
      <c r="M213" s="36"/>
      <c r="N213" s="37"/>
      <c r="R213" s="36"/>
      <c r="S213" s="38"/>
      <c r="T213" s="39"/>
      <c r="U213" s="40"/>
      <c r="W213" s="41"/>
      <c r="X213" s="42"/>
    </row>
    <row r="214" spans="13:24" ht="14.25" customHeight="1">
      <c r="M214" s="36"/>
      <c r="N214" s="37"/>
      <c r="R214" s="36"/>
      <c r="S214" s="38"/>
      <c r="T214" s="39"/>
      <c r="U214" s="40"/>
      <c r="W214" s="41"/>
      <c r="X214" s="42"/>
    </row>
    <row r="215" spans="13:24" ht="14.25" customHeight="1">
      <c r="M215" s="36"/>
      <c r="N215" s="37"/>
      <c r="R215" s="36"/>
      <c r="S215" s="38"/>
      <c r="T215" s="39"/>
      <c r="U215" s="40"/>
      <c r="W215" s="41"/>
      <c r="X215" s="42"/>
    </row>
    <row r="216" spans="13:24" ht="14.25" customHeight="1">
      <c r="M216" s="36"/>
      <c r="N216" s="37"/>
      <c r="R216" s="36"/>
      <c r="S216" s="38"/>
      <c r="T216" s="39"/>
      <c r="U216" s="40"/>
      <c r="W216" s="41"/>
      <c r="X216" s="42"/>
    </row>
    <row r="217" spans="13:24" ht="14.25" customHeight="1">
      <c r="M217" s="36"/>
      <c r="N217" s="37"/>
      <c r="R217" s="36"/>
      <c r="S217" s="38"/>
      <c r="T217" s="39"/>
      <c r="U217" s="40"/>
      <c r="W217" s="41"/>
      <c r="X217" s="42"/>
    </row>
    <row r="218" spans="13:24" ht="14.25" customHeight="1">
      <c r="M218" s="36"/>
      <c r="N218" s="37"/>
      <c r="R218" s="36"/>
      <c r="S218" s="38"/>
      <c r="T218" s="39"/>
      <c r="U218" s="40"/>
      <c r="W218" s="41"/>
      <c r="X218" s="42"/>
    </row>
    <row r="219" spans="13:24" ht="14.25" customHeight="1">
      <c r="M219" s="36"/>
      <c r="N219" s="37"/>
      <c r="R219" s="36"/>
      <c r="S219" s="38"/>
      <c r="T219" s="39"/>
      <c r="U219" s="40"/>
      <c r="W219" s="41"/>
      <c r="X219" s="42"/>
    </row>
    <row r="220" spans="13:24" ht="14.25" customHeight="1">
      <c r="M220" s="36"/>
      <c r="N220" s="37"/>
      <c r="R220" s="36"/>
      <c r="S220" s="38"/>
      <c r="T220" s="39"/>
      <c r="U220" s="40"/>
      <c r="W220" s="41"/>
      <c r="X220" s="42"/>
    </row>
    <row r="221" spans="13:24" ht="14.25" customHeight="1">
      <c r="M221" s="36"/>
      <c r="N221" s="37"/>
      <c r="R221" s="36"/>
      <c r="S221" s="38"/>
      <c r="T221" s="39"/>
      <c r="U221" s="40"/>
      <c r="W221" s="41"/>
      <c r="X221" s="42"/>
    </row>
    <row r="222" spans="13:24" ht="14.25" customHeight="1">
      <c r="M222" s="36"/>
      <c r="N222" s="37"/>
      <c r="R222" s="36"/>
      <c r="S222" s="38"/>
      <c r="T222" s="39"/>
      <c r="U222" s="40"/>
      <c r="W222" s="41"/>
      <c r="X222" s="42"/>
    </row>
    <row r="223" spans="13:24" ht="14.25" customHeight="1">
      <c r="M223" s="36"/>
      <c r="N223" s="37"/>
      <c r="R223" s="36"/>
      <c r="S223" s="38"/>
      <c r="T223" s="39"/>
      <c r="U223" s="40"/>
      <c r="W223" s="41"/>
      <c r="X223" s="42"/>
    </row>
    <row r="224" spans="13:24" ht="14.25" customHeight="1">
      <c r="M224" s="36"/>
      <c r="N224" s="37"/>
      <c r="R224" s="36"/>
      <c r="S224" s="38"/>
      <c r="T224" s="39"/>
      <c r="U224" s="40"/>
      <c r="W224" s="41"/>
      <c r="X224" s="42"/>
    </row>
    <row r="225" spans="13:24" ht="14.25" customHeight="1">
      <c r="M225" s="36"/>
      <c r="N225" s="37"/>
      <c r="R225" s="36"/>
      <c r="S225" s="38"/>
      <c r="T225" s="39"/>
      <c r="U225" s="40"/>
      <c r="W225" s="41"/>
      <c r="X225" s="42"/>
    </row>
    <row r="226" spans="13:24" ht="14.25" customHeight="1">
      <c r="M226" s="36"/>
      <c r="N226" s="37"/>
      <c r="R226" s="36"/>
      <c r="S226" s="38"/>
      <c r="T226" s="39"/>
      <c r="U226" s="40"/>
      <c r="W226" s="41"/>
      <c r="X226" s="42"/>
    </row>
    <row r="227" spans="13:24" ht="14.25" customHeight="1">
      <c r="M227" s="36"/>
      <c r="N227" s="37"/>
      <c r="R227" s="36"/>
      <c r="S227" s="38"/>
      <c r="T227" s="39"/>
      <c r="U227" s="40"/>
      <c r="W227" s="41"/>
      <c r="X227" s="42"/>
    </row>
    <row r="228" spans="13:24" ht="14.25" customHeight="1">
      <c r="M228" s="36"/>
      <c r="N228" s="37"/>
      <c r="R228" s="36"/>
      <c r="S228" s="38"/>
      <c r="T228" s="39"/>
      <c r="U228" s="40"/>
      <c r="W228" s="41"/>
      <c r="X228" s="42"/>
    </row>
    <row r="229" spans="13:24" ht="14.25" customHeight="1">
      <c r="M229" s="36"/>
      <c r="N229" s="37"/>
      <c r="R229" s="36"/>
      <c r="S229" s="38"/>
      <c r="T229" s="39"/>
      <c r="U229" s="40"/>
      <c r="W229" s="41"/>
      <c r="X229" s="42"/>
    </row>
    <row r="230" spans="13:24" ht="14.25" customHeight="1">
      <c r="M230" s="36"/>
      <c r="N230" s="37"/>
      <c r="R230" s="36"/>
      <c r="S230" s="38"/>
      <c r="T230" s="39"/>
      <c r="U230" s="40"/>
      <c r="W230" s="41"/>
      <c r="X230" s="42"/>
    </row>
    <row r="231" spans="13:24" ht="14.25" customHeight="1">
      <c r="M231" s="36"/>
      <c r="N231" s="37"/>
      <c r="R231" s="36"/>
      <c r="S231" s="38"/>
      <c r="T231" s="39"/>
      <c r="U231" s="40"/>
      <c r="W231" s="41"/>
      <c r="X231" s="42"/>
    </row>
    <row r="232" spans="13:24" ht="14.25" customHeight="1">
      <c r="M232" s="36"/>
      <c r="N232" s="37"/>
      <c r="R232" s="36"/>
      <c r="S232" s="38"/>
      <c r="T232" s="39"/>
      <c r="U232" s="40"/>
      <c r="W232" s="41"/>
      <c r="X232" s="42"/>
    </row>
    <row r="233" spans="13:24" ht="14.25" customHeight="1">
      <c r="M233" s="36"/>
      <c r="N233" s="37"/>
      <c r="R233" s="36"/>
      <c r="S233" s="38"/>
      <c r="T233" s="39"/>
      <c r="U233" s="40"/>
      <c r="W233" s="41"/>
      <c r="X233" s="42"/>
    </row>
    <row r="234" spans="13:24" ht="14.25" customHeight="1">
      <c r="M234" s="36"/>
      <c r="N234" s="37"/>
      <c r="R234" s="36"/>
      <c r="S234" s="38"/>
      <c r="T234" s="39"/>
      <c r="U234" s="40"/>
      <c r="W234" s="41"/>
      <c r="X234" s="42"/>
    </row>
    <row r="235" spans="13:24" ht="14.25" customHeight="1">
      <c r="M235" s="36"/>
      <c r="N235" s="37"/>
      <c r="R235" s="36"/>
      <c r="S235" s="38"/>
      <c r="T235" s="39"/>
      <c r="U235" s="40"/>
      <c r="W235" s="41"/>
      <c r="X235" s="42"/>
    </row>
    <row r="236" spans="13:24" ht="14.25" customHeight="1">
      <c r="M236" s="36"/>
      <c r="N236" s="37"/>
      <c r="R236" s="36"/>
      <c r="S236" s="38"/>
      <c r="T236" s="39"/>
      <c r="U236" s="40"/>
      <c r="W236" s="41"/>
      <c r="X236" s="42"/>
    </row>
    <row r="237" spans="13:24" ht="14.25" customHeight="1">
      <c r="M237" s="36"/>
      <c r="N237" s="37"/>
      <c r="R237" s="36"/>
      <c r="S237" s="38"/>
      <c r="T237" s="39"/>
      <c r="U237" s="40"/>
      <c r="W237" s="41"/>
      <c r="X237" s="42"/>
    </row>
    <row r="238" spans="13:24" ht="14.25" customHeight="1">
      <c r="M238" s="36"/>
      <c r="N238" s="37"/>
      <c r="R238" s="36"/>
      <c r="S238" s="38"/>
      <c r="T238" s="39"/>
      <c r="U238" s="40"/>
      <c r="W238" s="41"/>
      <c r="X238" s="42"/>
    </row>
    <row r="239" spans="13:24" ht="14.25" customHeight="1">
      <c r="M239" s="36"/>
      <c r="N239" s="37"/>
      <c r="R239" s="36"/>
      <c r="S239" s="38"/>
      <c r="T239" s="39"/>
      <c r="U239" s="40"/>
      <c r="W239" s="41"/>
      <c r="X239" s="42"/>
    </row>
    <row r="240" spans="13:24" ht="14.25" customHeight="1">
      <c r="M240" s="36"/>
      <c r="N240" s="37"/>
      <c r="R240" s="36"/>
      <c r="S240" s="38"/>
      <c r="T240" s="39"/>
      <c r="U240" s="40"/>
      <c r="W240" s="41"/>
      <c r="X240" s="42"/>
    </row>
    <row r="241" spans="13:24" ht="14.25" customHeight="1">
      <c r="M241" s="36"/>
      <c r="N241" s="37"/>
      <c r="R241" s="36"/>
      <c r="S241" s="38"/>
      <c r="T241" s="39"/>
      <c r="U241" s="40"/>
      <c r="W241" s="41"/>
      <c r="X241" s="42"/>
    </row>
    <row r="242" spans="13:24" ht="14.25" customHeight="1">
      <c r="M242" s="36"/>
      <c r="N242" s="37"/>
      <c r="R242" s="36"/>
      <c r="S242" s="38"/>
      <c r="T242" s="39"/>
      <c r="U242" s="40"/>
      <c r="W242" s="41"/>
      <c r="X242" s="42"/>
    </row>
    <row r="243" spans="13:24" ht="14.25" customHeight="1">
      <c r="M243" s="36"/>
      <c r="N243" s="37"/>
      <c r="R243" s="36"/>
      <c r="S243" s="38"/>
      <c r="T243" s="39"/>
      <c r="U243" s="40"/>
      <c r="W243" s="41"/>
      <c r="X243" s="42"/>
    </row>
    <row r="244" spans="13:24" ht="14.25" customHeight="1">
      <c r="M244" s="36"/>
      <c r="N244" s="37"/>
      <c r="R244" s="36"/>
      <c r="S244" s="38"/>
      <c r="T244" s="39"/>
      <c r="U244" s="40"/>
      <c r="W244" s="41"/>
      <c r="X244" s="42"/>
    </row>
    <row r="245" spans="13:24" ht="14.25" customHeight="1">
      <c r="M245" s="36"/>
      <c r="N245" s="37"/>
      <c r="R245" s="36"/>
      <c r="S245" s="38"/>
      <c r="T245" s="39"/>
      <c r="U245" s="40"/>
      <c r="W245" s="41"/>
      <c r="X245" s="42"/>
    </row>
    <row r="246" spans="13:24" ht="14.25" customHeight="1">
      <c r="M246" s="36"/>
      <c r="N246" s="37"/>
      <c r="R246" s="36"/>
      <c r="S246" s="38"/>
      <c r="T246" s="39"/>
      <c r="U246" s="40"/>
      <c r="W246" s="41"/>
      <c r="X246" s="42"/>
    </row>
    <row r="247" spans="13:24" ht="14.25" customHeight="1">
      <c r="M247" s="36"/>
      <c r="N247" s="37"/>
      <c r="R247" s="36"/>
      <c r="S247" s="38"/>
      <c r="T247" s="39"/>
      <c r="U247" s="40"/>
      <c r="W247" s="41"/>
      <c r="X247" s="42"/>
    </row>
    <row r="248" spans="13:24" ht="14.25" customHeight="1">
      <c r="M248" s="36"/>
      <c r="N248" s="37"/>
      <c r="R248" s="36"/>
      <c r="S248" s="38"/>
      <c r="T248" s="39"/>
      <c r="U248" s="40"/>
      <c r="W248" s="41"/>
      <c r="X248" s="42"/>
    </row>
    <row r="249" spans="13:24" ht="14.25" customHeight="1">
      <c r="M249" s="36"/>
      <c r="N249" s="37"/>
      <c r="R249" s="36"/>
      <c r="S249" s="38"/>
      <c r="T249" s="39"/>
      <c r="U249" s="40"/>
      <c r="W249" s="41"/>
      <c r="X249" s="42"/>
    </row>
    <row r="250" spans="13:24" ht="14.25" customHeight="1">
      <c r="M250" s="36"/>
      <c r="N250" s="37"/>
      <c r="R250" s="36"/>
      <c r="S250" s="38"/>
      <c r="T250" s="39"/>
      <c r="U250" s="40"/>
      <c r="W250" s="41"/>
      <c r="X250" s="42"/>
    </row>
    <row r="251" spans="13:24" ht="14.25" customHeight="1">
      <c r="M251" s="36"/>
      <c r="N251" s="37"/>
      <c r="R251" s="36"/>
      <c r="S251" s="38"/>
      <c r="T251" s="39"/>
      <c r="U251" s="40"/>
      <c r="W251" s="41"/>
      <c r="X251" s="42"/>
    </row>
    <row r="252" spans="13:24" ht="14.25" customHeight="1">
      <c r="M252" s="36"/>
      <c r="N252" s="37"/>
      <c r="R252" s="36"/>
      <c r="S252" s="38"/>
      <c r="T252" s="39"/>
      <c r="U252" s="40"/>
      <c r="W252" s="41"/>
      <c r="X252" s="42"/>
    </row>
    <row r="253" spans="13:24" ht="14.25" customHeight="1">
      <c r="M253" s="36"/>
      <c r="N253" s="37"/>
      <c r="R253" s="36"/>
      <c r="S253" s="38"/>
      <c r="T253" s="39"/>
      <c r="U253" s="40"/>
      <c r="W253" s="41"/>
      <c r="X253" s="42"/>
    </row>
    <row r="254" spans="13:24" ht="14.25" customHeight="1">
      <c r="M254" s="36"/>
      <c r="N254" s="37"/>
      <c r="R254" s="36"/>
      <c r="S254" s="38"/>
      <c r="T254" s="39"/>
      <c r="U254" s="40"/>
      <c r="W254" s="41"/>
      <c r="X254" s="42"/>
    </row>
    <row r="255" spans="13:24" ht="14.25" customHeight="1">
      <c r="M255" s="36"/>
      <c r="N255" s="37"/>
      <c r="R255" s="36"/>
      <c r="S255" s="38"/>
      <c r="T255" s="39"/>
      <c r="U255" s="40"/>
      <c r="W255" s="41"/>
      <c r="X255" s="42"/>
    </row>
    <row r="256" spans="13:24" ht="14.25" customHeight="1">
      <c r="M256" s="36"/>
      <c r="N256" s="37"/>
      <c r="R256" s="36"/>
      <c r="S256" s="38"/>
      <c r="T256" s="39"/>
      <c r="U256" s="40"/>
      <c r="W256" s="41"/>
      <c r="X256" s="42"/>
    </row>
    <row r="257" spans="13:24" ht="14.25" customHeight="1">
      <c r="M257" s="36"/>
      <c r="N257" s="37"/>
      <c r="R257" s="36"/>
      <c r="S257" s="38"/>
      <c r="T257" s="39"/>
      <c r="U257" s="40"/>
      <c r="W257" s="41"/>
      <c r="X257" s="42"/>
    </row>
    <row r="258" spans="13:24" ht="14.25" customHeight="1">
      <c r="M258" s="36"/>
      <c r="N258" s="37"/>
      <c r="R258" s="36"/>
      <c r="S258" s="38"/>
      <c r="T258" s="39"/>
      <c r="U258" s="40"/>
      <c r="W258" s="41"/>
      <c r="X258" s="42"/>
    </row>
    <row r="259" spans="13:24" ht="14.25" customHeight="1">
      <c r="M259" s="36"/>
      <c r="N259" s="37"/>
      <c r="R259" s="36"/>
      <c r="S259" s="38"/>
      <c r="T259" s="39"/>
      <c r="U259" s="40"/>
      <c r="W259" s="41"/>
      <c r="X259" s="42"/>
    </row>
    <row r="260" spans="13:24" ht="14.25" customHeight="1">
      <c r="M260" s="36"/>
      <c r="N260" s="37"/>
      <c r="R260" s="36"/>
      <c r="S260" s="38"/>
      <c r="T260" s="39"/>
      <c r="U260" s="40"/>
      <c r="W260" s="41"/>
      <c r="X260" s="42"/>
    </row>
    <row r="261" spans="13:24" ht="14.25" customHeight="1">
      <c r="M261" s="36"/>
      <c r="N261" s="37"/>
      <c r="R261" s="36"/>
      <c r="S261" s="38"/>
      <c r="T261" s="39"/>
      <c r="U261" s="40"/>
      <c r="W261" s="41"/>
      <c r="X261" s="42"/>
    </row>
    <row r="262" spans="13:24" ht="14.25" customHeight="1">
      <c r="M262" s="36"/>
      <c r="N262" s="37"/>
      <c r="R262" s="36"/>
      <c r="S262" s="38"/>
      <c r="T262" s="39"/>
      <c r="U262" s="40"/>
      <c r="W262" s="41"/>
      <c r="X262" s="42"/>
    </row>
    <row r="263" spans="13:24" ht="14.25" customHeight="1">
      <c r="M263" s="36"/>
      <c r="N263" s="37"/>
      <c r="R263" s="36"/>
      <c r="S263" s="38"/>
      <c r="T263" s="39"/>
      <c r="U263" s="40"/>
      <c r="W263" s="41"/>
      <c r="X263" s="42"/>
    </row>
    <row r="264" spans="13:24" ht="14.25" customHeight="1">
      <c r="M264" s="36"/>
      <c r="N264" s="37"/>
      <c r="R264" s="36"/>
      <c r="S264" s="38"/>
      <c r="T264" s="39"/>
      <c r="U264" s="40"/>
      <c r="W264" s="41"/>
      <c r="X264" s="42"/>
    </row>
    <row r="265" spans="13:24" ht="14.25" customHeight="1">
      <c r="M265" s="36"/>
      <c r="N265" s="37"/>
      <c r="R265" s="36"/>
      <c r="S265" s="38"/>
      <c r="T265" s="39"/>
      <c r="U265" s="40"/>
      <c r="W265" s="41"/>
      <c r="X265" s="42"/>
    </row>
    <row r="266" spans="13:24" ht="14.25" customHeight="1">
      <c r="M266" s="36"/>
      <c r="N266" s="37"/>
      <c r="R266" s="36"/>
      <c r="S266" s="38"/>
      <c r="T266" s="39"/>
      <c r="U266" s="40"/>
      <c r="W266" s="41"/>
      <c r="X266" s="42"/>
    </row>
    <row r="267" spans="13:24" ht="14.25" customHeight="1">
      <c r="M267" s="36"/>
      <c r="N267" s="37"/>
      <c r="R267" s="36"/>
      <c r="S267" s="38"/>
      <c r="T267" s="39"/>
      <c r="U267" s="40"/>
      <c r="W267" s="41"/>
      <c r="X267" s="42"/>
    </row>
    <row r="268" spans="13:24" ht="14.25" customHeight="1">
      <c r="M268" s="36"/>
      <c r="N268" s="37"/>
      <c r="R268" s="36"/>
      <c r="S268" s="38"/>
      <c r="T268" s="39"/>
      <c r="U268" s="40"/>
      <c r="W268" s="41"/>
      <c r="X268" s="42"/>
    </row>
    <row r="269" spans="13:24" ht="14.25" customHeight="1">
      <c r="M269" s="36"/>
      <c r="N269" s="37"/>
      <c r="R269" s="36"/>
      <c r="S269" s="38"/>
      <c r="T269" s="39"/>
      <c r="U269" s="40"/>
      <c r="W269" s="41"/>
      <c r="X269" s="42"/>
    </row>
    <row r="270" spans="13:24" ht="14.25" customHeight="1">
      <c r="M270" s="36"/>
      <c r="N270" s="37"/>
      <c r="R270" s="36"/>
      <c r="S270" s="38"/>
      <c r="T270" s="39"/>
      <c r="U270" s="40"/>
      <c r="W270" s="41"/>
      <c r="X270" s="42"/>
    </row>
    <row r="271" spans="13:24" ht="14.25" customHeight="1">
      <c r="M271" s="36"/>
      <c r="N271" s="37"/>
      <c r="R271" s="36"/>
      <c r="S271" s="38"/>
      <c r="T271" s="39"/>
      <c r="U271" s="40"/>
      <c r="W271" s="41"/>
      <c r="X271" s="42"/>
    </row>
    <row r="272" spans="13:24" ht="14.25" customHeight="1">
      <c r="M272" s="36"/>
      <c r="N272" s="37"/>
      <c r="R272" s="36"/>
      <c r="S272" s="38"/>
      <c r="T272" s="39"/>
      <c r="U272" s="40"/>
      <c r="W272" s="41"/>
      <c r="X272" s="42"/>
    </row>
    <row r="273" spans="13:24" ht="14.25" customHeight="1">
      <c r="M273" s="36"/>
      <c r="N273" s="37"/>
      <c r="R273" s="36"/>
      <c r="S273" s="38"/>
      <c r="T273" s="39"/>
      <c r="U273" s="40"/>
      <c r="W273" s="41"/>
      <c r="X273" s="42"/>
    </row>
    <row r="274" spans="13:24" ht="14.25" customHeight="1">
      <c r="M274" s="36"/>
      <c r="N274" s="37"/>
      <c r="R274" s="36"/>
      <c r="S274" s="38"/>
      <c r="T274" s="39"/>
      <c r="U274" s="40"/>
      <c r="W274" s="41"/>
      <c r="X274" s="42"/>
    </row>
    <row r="275" spans="13:24" ht="14.25" customHeight="1">
      <c r="M275" s="36"/>
      <c r="N275" s="37"/>
      <c r="R275" s="36"/>
      <c r="S275" s="38"/>
      <c r="T275" s="39"/>
      <c r="U275" s="40"/>
      <c r="W275" s="41"/>
      <c r="X275" s="42"/>
    </row>
    <row r="276" spans="13:24" ht="14.25" customHeight="1">
      <c r="M276" s="36"/>
      <c r="N276" s="37"/>
      <c r="R276" s="36"/>
      <c r="S276" s="38"/>
      <c r="T276" s="39"/>
      <c r="U276" s="40"/>
      <c r="W276" s="41"/>
      <c r="X276" s="42"/>
    </row>
    <row r="277" spans="13:24" ht="14.25" customHeight="1">
      <c r="M277" s="36"/>
      <c r="N277" s="37"/>
      <c r="R277" s="36"/>
      <c r="S277" s="38"/>
      <c r="T277" s="39"/>
      <c r="U277" s="40"/>
      <c r="W277" s="41"/>
      <c r="X277" s="42"/>
    </row>
    <row r="278" spans="13:24" ht="14.25" customHeight="1">
      <c r="M278" s="36"/>
      <c r="N278" s="37"/>
      <c r="R278" s="36"/>
      <c r="S278" s="38"/>
      <c r="T278" s="39"/>
      <c r="U278" s="40"/>
      <c r="W278" s="41"/>
      <c r="X278" s="42"/>
    </row>
    <row r="279" spans="13:24" ht="14.25" customHeight="1">
      <c r="M279" s="36"/>
      <c r="N279" s="37"/>
      <c r="R279" s="36"/>
      <c r="S279" s="38"/>
      <c r="T279" s="39"/>
      <c r="U279" s="40"/>
      <c r="W279" s="41"/>
      <c r="X279" s="42"/>
    </row>
    <row r="280" spans="13:24" ht="14.25" customHeight="1">
      <c r="M280" s="36"/>
      <c r="N280" s="37"/>
      <c r="R280" s="36"/>
      <c r="S280" s="38"/>
      <c r="T280" s="39"/>
      <c r="U280" s="40"/>
      <c r="W280" s="41"/>
      <c r="X280" s="42"/>
    </row>
    <row r="281" spans="13:24" ht="14.25" customHeight="1">
      <c r="M281" s="36"/>
      <c r="N281" s="37"/>
      <c r="R281" s="36"/>
      <c r="S281" s="38"/>
      <c r="T281" s="39"/>
      <c r="U281" s="40"/>
      <c r="W281" s="41"/>
      <c r="X281" s="42"/>
    </row>
    <row r="282" spans="13:24" ht="14.25" customHeight="1">
      <c r="M282" s="36"/>
      <c r="N282" s="37"/>
      <c r="R282" s="36"/>
      <c r="S282" s="38"/>
      <c r="T282" s="39"/>
      <c r="U282" s="40"/>
      <c r="W282" s="41"/>
      <c r="X282" s="42"/>
    </row>
    <row r="283" spans="13:24" ht="14.25" customHeight="1">
      <c r="M283" s="36"/>
      <c r="N283" s="37"/>
      <c r="R283" s="36"/>
      <c r="S283" s="38"/>
      <c r="T283" s="39"/>
      <c r="U283" s="40"/>
      <c r="W283" s="41"/>
      <c r="X283" s="42"/>
    </row>
    <row r="284" spans="13:24" ht="14.25" customHeight="1">
      <c r="M284" s="36"/>
      <c r="N284" s="37"/>
      <c r="R284" s="36"/>
      <c r="S284" s="38"/>
      <c r="T284" s="39"/>
      <c r="U284" s="40"/>
      <c r="W284" s="41"/>
      <c r="X284" s="42"/>
    </row>
    <row r="285" spans="13:24" ht="14.25" customHeight="1">
      <c r="M285" s="36"/>
      <c r="N285" s="37"/>
      <c r="R285" s="36"/>
      <c r="S285" s="38"/>
      <c r="T285" s="39"/>
      <c r="U285" s="40"/>
      <c r="W285" s="41"/>
      <c r="X285" s="42"/>
    </row>
    <row r="286" spans="13:24" ht="14.25" customHeight="1">
      <c r="M286" s="36"/>
      <c r="N286" s="37"/>
      <c r="R286" s="36"/>
      <c r="S286" s="38"/>
      <c r="T286" s="39"/>
      <c r="U286" s="40"/>
      <c r="W286" s="41"/>
      <c r="X286" s="42"/>
    </row>
    <row r="287" spans="13:24" ht="14.25" customHeight="1">
      <c r="M287" s="36"/>
      <c r="N287" s="37"/>
      <c r="R287" s="36"/>
      <c r="S287" s="38"/>
      <c r="T287" s="39"/>
      <c r="U287" s="40"/>
      <c r="W287" s="41"/>
      <c r="X287" s="42"/>
    </row>
    <row r="288" spans="13:24" ht="14.25" customHeight="1">
      <c r="M288" s="36"/>
      <c r="N288" s="37"/>
      <c r="R288" s="36"/>
      <c r="S288" s="38"/>
      <c r="T288" s="39"/>
      <c r="U288" s="40"/>
      <c r="W288" s="41"/>
      <c r="X288" s="42"/>
    </row>
    <row r="289" spans="13:24" ht="14.25" customHeight="1">
      <c r="M289" s="36"/>
      <c r="N289" s="37"/>
      <c r="R289" s="36"/>
      <c r="S289" s="38"/>
      <c r="T289" s="39"/>
      <c r="U289" s="40"/>
      <c r="W289" s="41"/>
      <c r="X289" s="42"/>
    </row>
    <row r="290" spans="13:24" ht="14.25" customHeight="1">
      <c r="M290" s="36"/>
      <c r="N290" s="37"/>
      <c r="R290" s="36"/>
      <c r="S290" s="38"/>
      <c r="T290" s="39"/>
      <c r="U290" s="40"/>
      <c r="W290" s="41"/>
      <c r="X290" s="42"/>
    </row>
    <row r="291" spans="13:24" ht="14.25" customHeight="1">
      <c r="M291" s="36"/>
      <c r="N291" s="37"/>
      <c r="R291" s="36"/>
      <c r="S291" s="38"/>
      <c r="T291" s="39"/>
      <c r="U291" s="40"/>
      <c r="W291" s="41"/>
      <c r="X291" s="42"/>
    </row>
    <row r="292" spans="13:24" ht="14.25" customHeight="1">
      <c r="M292" s="36"/>
      <c r="N292" s="37"/>
      <c r="R292" s="36"/>
      <c r="S292" s="38"/>
      <c r="T292" s="39"/>
      <c r="U292" s="40"/>
      <c r="W292" s="41"/>
      <c r="X292" s="42"/>
    </row>
    <row r="293" spans="13:24" ht="14.25" customHeight="1">
      <c r="M293" s="36"/>
      <c r="N293" s="37"/>
      <c r="R293" s="36"/>
      <c r="S293" s="38"/>
      <c r="T293" s="39"/>
      <c r="U293" s="40"/>
      <c r="W293" s="41"/>
      <c r="X293" s="42"/>
    </row>
    <row r="294" spans="13:24" ht="14.25" customHeight="1">
      <c r="M294" s="36"/>
      <c r="N294" s="37"/>
      <c r="R294" s="36"/>
      <c r="S294" s="38"/>
      <c r="T294" s="39"/>
      <c r="U294" s="40"/>
      <c r="W294" s="41"/>
      <c r="X294" s="42"/>
    </row>
    <row r="295" spans="13:24" ht="14.25" customHeight="1">
      <c r="M295" s="36"/>
      <c r="N295" s="37"/>
      <c r="R295" s="36"/>
      <c r="S295" s="38"/>
      <c r="T295" s="39"/>
      <c r="U295" s="40"/>
      <c r="W295" s="41"/>
      <c r="X295" s="42"/>
    </row>
    <row r="296" spans="13:24" ht="14.25" customHeight="1">
      <c r="M296" s="36"/>
      <c r="N296" s="37"/>
      <c r="R296" s="36"/>
      <c r="S296" s="38"/>
      <c r="T296" s="39"/>
      <c r="U296" s="40"/>
      <c r="W296" s="41"/>
      <c r="X296" s="42"/>
    </row>
    <row r="297" spans="13:24" ht="14.25" customHeight="1">
      <c r="M297" s="36"/>
      <c r="N297" s="37"/>
      <c r="R297" s="36"/>
      <c r="S297" s="38"/>
      <c r="T297" s="39"/>
      <c r="U297" s="40"/>
      <c r="W297" s="41"/>
      <c r="X297" s="42"/>
    </row>
    <row r="298" spans="13:24" ht="14.25" customHeight="1">
      <c r="M298" s="36"/>
      <c r="N298" s="37"/>
      <c r="R298" s="36"/>
      <c r="S298" s="38"/>
      <c r="T298" s="39"/>
      <c r="U298" s="40"/>
      <c r="W298" s="41"/>
      <c r="X298" s="42"/>
    </row>
    <row r="299" spans="13:24" ht="14.25" customHeight="1">
      <c r="M299" s="36"/>
      <c r="N299" s="37"/>
      <c r="R299" s="36"/>
      <c r="S299" s="38"/>
      <c r="T299" s="39"/>
      <c r="U299" s="40"/>
      <c r="W299" s="41"/>
      <c r="X299" s="42"/>
    </row>
    <row r="300" spans="13:24" ht="14.25" customHeight="1">
      <c r="M300" s="36"/>
      <c r="N300" s="37"/>
      <c r="R300" s="36"/>
      <c r="S300" s="38"/>
      <c r="T300" s="39"/>
      <c r="U300" s="40"/>
      <c r="W300" s="41"/>
      <c r="X300" s="42"/>
    </row>
    <row r="301" spans="13:24" ht="14.25" customHeight="1">
      <c r="M301" s="36"/>
      <c r="N301" s="37"/>
      <c r="R301" s="36"/>
      <c r="S301" s="38"/>
      <c r="T301" s="39"/>
      <c r="U301" s="40"/>
      <c r="W301" s="41"/>
      <c r="X301" s="42"/>
    </row>
    <row r="302" spans="13:24" ht="14.25" customHeight="1">
      <c r="M302" s="36"/>
      <c r="N302" s="37"/>
      <c r="R302" s="36"/>
      <c r="S302" s="38"/>
      <c r="T302" s="39"/>
      <c r="U302" s="40"/>
      <c r="W302" s="41"/>
      <c r="X302" s="42"/>
    </row>
    <row r="303" spans="13:24" ht="14.25" customHeight="1">
      <c r="M303" s="36"/>
      <c r="N303" s="37"/>
      <c r="R303" s="36"/>
      <c r="S303" s="38"/>
      <c r="T303" s="39"/>
      <c r="U303" s="40"/>
      <c r="W303" s="41"/>
      <c r="X303" s="42"/>
    </row>
    <row r="304" spans="13:24" ht="14.25" customHeight="1">
      <c r="M304" s="36"/>
      <c r="N304" s="37"/>
      <c r="R304" s="36"/>
      <c r="S304" s="38"/>
      <c r="T304" s="39"/>
      <c r="U304" s="40"/>
      <c r="W304" s="41"/>
      <c r="X304" s="42"/>
    </row>
    <row r="305" spans="13:24" ht="14.25" customHeight="1">
      <c r="M305" s="36"/>
      <c r="N305" s="37"/>
      <c r="R305" s="36"/>
      <c r="S305" s="38"/>
      <c r="T305" s="39"/>
      <c r="U305" s="40"/>
      <c r="W305" s="41"/>
      <c r="X305" s="42"/>
    </row>
    <row r="306" spans="13:24" ht="14.25" customHeight="1">
      <c r="M306" s="36"/>
      <c r="N306" s="37"/>
      <c r="R306" s="36"/>
      <c r="S306" s="38"/>
      <c r="T306" s="39"/>
      <c r="U306" s="40"/>
      <c r="W306" s="41"/>
      <c r="X306" s="42"/>
    </row>
    <row r="307" spans="13:24" ht="14.25" customHeight="1">
      <c r="M307" s="36"/>
      <c r="N307" s="37"/>
      <c r="R307" s="36"/>
      <c r="S307" s="38"/>
      <c r="T307" s="39"/>
      <c r="U307" s="40"/>
      <c r="W307" s="41"/>
      <c r="X307" s="42"/>
    </row>
    <row r="308" spans="13:24" ht="14.25" customHeight="1">
      <c r="M308" s="36"/>
      <c r="N308" s="37"/>
      <c r="R308" s="36"/>
      <c r="S308" s="38"/>
      <c r="T308" s="39"/>
      <c r="U308" s="40"/>
      <c r="W308" s="41"/>
      <c r="X308" s="42"/>
    </row>
    <row r="309" spans="13:24" ht="14.25" customHeight="1">
      <c r="M309" s="36"/>
      <c r="N309" s="37"/>
      <c r="R309" s="36"/>
      <c r="S309" s="38"/>
      <c r="T309" s="39"/>
      <c r="U309" s="40"/>
      <c r="W309" s="41"/>
      <c r="X309" s="42"/>
    </row>
    <row r="310" spans="13:24" ht="14.25" customHeight="1">
      <c r="M310" s="36"/>
      <c r="N310" s="37"/>
      <c r="R310" s="36"/>
      <c r="S310" s="38"/>
      <c r="T310" s="39"/>
      <c r="U310" s="40"/>
      <c r="W310" s="41"/>
      <c r="X310" s="42"/>
    </row>
    <row r="311" spans="13:24" ht="14.25" customHeight="1">
      <c r="M311" s="36"/>
      <c r="N311" s="37"/>
      <c r="R311" s="36"/>
      <c r="S311" s="38"/>
      <c r="T311" s="39"/>
      <c r="U311" s="40"/>
      <c r="W311" s="41"/>
      <c r="X311" s="42"/>
    </row>
    <row r="312" spans="13:24" ht="14.25" customHeight="1">
      <c r="M312" s="36"/>
      <c r="N312" s="37"/>
      <c r="R312" s="36"/>
      <c r="S312" s="38"/>
      <c r="T312" s="39"/>
      <c r="U312" s="40"/>
      <c r="W312" s="41"/>
      <c r="X312" s="42"/>
    </row>
    <row r="313" spans="13:24" ht="14.25" customHeight="1">
      <c r="M313" s="36"/>
      <c r="N313" s="37"/>
      <c r="R313" s="36"/>
      <c r="S313" s="38"/>
      <c r="T313" s="39"/>
      <c r="U313" s="40"/>
      <c r="W313" s="41"/>
      <c r="X313" s="42"/>
    </row>
    <row r="314" spans="13:24" ht="14.25" customHeight="1">
      <c r="M314" s="36"/>
      <c r="N314" s="37"/>
      <c r="R314" s="36"/>
      <c r="S314" s="38"/>
      <c r="T314" s="39"/>
      <c r="U314" s="40"/>
      <c r="W314" s="41"/>
      <c r="X314" s="42"/>
    </row>
    <row r="315" spans="13:24" ht="14.25" customHeight="1">
      <c r="M315" s="36"/>
      <c r="N315" s="37"/>
      <c r="R315" s="36"/>
      <c r="S315" s="38"/>
      <c r="T315" s="39"/>
      <c r="U315" s="40"/>
      <c r="W315" s="41"/>
      <c r="X315" s="42"/>
    </row>
    <row r="316" spans="13:24" ht="14.25" customHeight="1">
      <c r="M316" s="36"/>
      <c r="N316" s="37"/>
      <c r="R316" s="36"/>
      <c r="S316" s="38"/>
      <c r="T316" s="39"/>
      <c r="U316" s="40"/>
      <c r="W316" s="41"/>
      <c r="X316" s="42"/>
    </row>
    <row r="317" spans="13:24" ht="14.25" customHeight="1">
      <c r="M317" s="36"/>
      <c r="N317" s="37"/>
      <c r="R317" s="36"/>
      <c r="S317" s="38"/>
      <c r="T317" s="39"/>
      <c r="U317" s="40"/>
      <c r="W317" s="41"/>
      <c r="X317" s="42"/>
    </row>
    <row r="318" spans="13:24" ht="14.25" customHeight="1">
      <c r="M318" s="36"/>
      <c r="N318" s="37"/>
      <c r="R318" s="36"/>
      <c r="S318" s="38"/>
      <c r="T318" s="39"/>
      <c r="U318" s="40"/>
      <c r="W318" s="41"/>
      <c r="X318" s="42"/>
    </row>
    <row r="319" spans="13:24" ht="14.25" customHeight="1">
      <c r="M319" s="36"/>
      <c r="N319" s="37"/>
      <c r="R319" s="36"/>
      <c r="S319" s="38"/>
      <c r="T319" s="39"/>
      <c r="U319" s="40"/>
      <c r="W319" s="41"/>
      <c r="X319" s="42"/>
    </row>
    <row r="320" spans="13:24" ht="14.25" customHeight="1">
      <c r="M320" s="36"/>
      <c r="N320" s="37"/>
      <c r="R320" s="36"/>
      <c r="S320" s="38"/>
      <c r="T320" s="39"/>
      <c r="U320" s="40"/>
      <c r="W320" s="41"/>
      <c r="X320" s="42"/>
    </row>
    <row r="321" spans="13:24" ht="14.25" customHeight="1">
      <c r="M321" s="36"/>
      <c r="N321" s="37"/>
      <c r="R321" s="36"/>
      <c r="S321" s="38"/>
      <c r="T321" s="39"/>
      <c r="U321" s="40"/>
      <c r="W321" s="41"/>
      <c r="X321" s="42"/>
    </row>
    <row r="322" spans="13:24" ht="14.25" customHeight="1">
      <c r="M322" s="36"/>
      <c r="N322" s="37"/>
      <c r="R322" s="36"/>
      <c r="S322" s="38"/>
      <c r="T322" s="39"/>
      <c r="U322" s="40"/>
      <c r="W322" s="41"/>
      <c r="X322" s="42"/>
    </row>
    <row r="323" spans="13:24" ht="14.25" customHeight="1">
      <c r="M323" s="36"/>
      <c r="N323" s="37"/>
      <c r="R323" s="36"/>
      <c r="S323" s="38"/>
      <c r="T323" s="39"/>
      <c r="U323" s="40"/>
      <c r="W323" s="41"/>
      <c r="X323" s="42"/>
    </row>
    <row r="324" spans="13:24" ht="14.25" customHeight="1">
      <c r="M324" s="36"/>
      <c r="N324" s="37"/>
      <c r="R324" s="36"/>
      <c r="S324" s="38"/>
      <c r="T324" s="39"/>
      <c r="U324" s="40"/>
      <c r="W324" s="41"/>
      <c r="X324" s="42"/>
    </row>
    <row r="325" spans="13:24" ht="14.25" customHeight="1">
      <c r="M325" s="36"/>
      <c r="N325" s="37"/>
      <c r="R325" s="36"/>
      <c r="S325" s="38"/>
      <c r="T325" s="39"/>
      <c r="U325" s="40"/>
      <c r="W325" s="41"/>
      <c r="X325" s="42"/>
    </row>
    <row r="326" spans="13:24" ht="14.25" customHeight="1">
      <c r="M326" s="36"/>
      <c r="N326" s="37"/>
      <c r="R326" s="36"/>
      <c r="S326" s="38"/>
      <c r="T326" s="39"/>
      <c r="U326" s="40"/>
      <c r="W326" s="41"/>
      <c r="X326" s="42"/>
    </row>
    <row r="327" spans="13:24" ht="14.25" customHeight="1">
      <c r="M327" s="36"/>
      <c r="N327" s="37"/>
      <c r="R327" s="36"/>
      <c r="S327" s="38"/>
      <c r="T327" s="39"/>
      <c r="U327" s="40"/>
      <c r="W327" s="41"/>
      <c r="X327" s="42"/>
    </row>
    <row r="328" spans="13:24" ht="14.25" customHeight="1">
      <c r="M328" s="36"/>
      <c r="N328" s="37"/>
      <c r="R328" s="36"/>
      <c r="S328" s="38"/>
      <c r="T328" s="39"/>
      <c r="U328" s="40"/>
      <c r="W328" s="41"/>
      <c r="X328" s="42"/>
    </row>
    <row r="329" spans="13:24" ht="14.25" customHeight="1">
      <c r="M329" s="36"/>
      <c r="N329" s="37"/>
      <c r="R329" s="36"/>
      <c r="S329" s="38"/>
      <c r="T329" s="39"/>
      <c r="U329" s="40"/>
      <c r="W329" s="41"/>
      <c r="X329" s="42"/>
    </row>
    <row r="330" spans="13:24" ht="14.25" customHeight="1">
      <c r="M330" s="36"/>
      <c r="N330" s="37"/>
      <c r="R330" s="36"/>
      <c r="S330" s="38"/>
      <c r="T330" s="39"/>
      <c r="U330" s="40"/>
      <c r="W330" s="41"/>
      <c r="X330" s="42"/>
    </row>
    <row r="331" spans="13:24" ht="14.25" customHeight="1">
      <c r="M331" s="36"/>
      <c r="N331" s="37"/>
      <c r="R331" s="36"/>
      <c r="S331" s="38"/>
      <c r="T331" s="39"/>
      <c r="U331" s="40"/>
      <c r="W331" s="41"/>
      <c r="X331" s="42"/>
    </row>
    <row r="332" spans="13:24" ht="14.25" customHeight="1">
      <c r="M332" s="36"/>
      <c r="N332" s="37"/>
      <c r="R332" s="36"/>
      <c r="S332" s="38"/>
      <c r="T332" s="39"/>
      <c r="U332" s="40"/>
      <c r="W332" s="41"/>
      <c r="X332" s="42"/>
    </row>
    <row r="333" spans="13:24" ht="14.25" customHeight="1">
      <c r="M333" s="36"/>
      <c r="N333" s="37"/>
      <c r="R333" s="36"/>
      <c r="S333" s="38"/>
      <c r="T333" s="39"/>
      <c r="U333" s="40"/>
      <c r="W333" s="41"/>
      <c r="X333" s="42"/>
    </row>
    <row r="334" spans="13:24" ht="14.25" customHeight="1">
      <c r="M334" s="36"/>
      <c r="N334" s="37"/>
      <c r="R334" s="36"/>
      <c r="S334" s="38"/>
      <c r="T334" s="39"/>
      <c r="U334" s="40"/>
      <c r="W334" s="41"/>
      <c r="X334" s="42"/>
    </row>
    <row r="335" spans="13:24" ht="14.25" customHeight="1">
      <c r="M335" s="36"/>
      <c r="N335" s="37"/>
      <c r="R335" s="36"/>
      <c r="S335" s="38"/>
      <c r="T335" s="39"/>
      <c r="U335" s="40"/>
      <c r="W335" s="41"/>
      <c r="X335" s="42"/>
    </row>
    <row r="336" spans="13:24" ht="14.25" customHeight="1">
      <c r="M336" s="36"/>
      <c r="N336" s="37"/>
      <c r="R336" s="36"/>
      <c r="S336" s="38"/>
      <c r="T336" s="39"/>
      <c r="U336" s="40"/>
      <c r="W336" s="41"/>
      <c r="X336" s="42"/>
    </row>
    <row r="337" spans="13:24" ht="14.25" customHeight="1">
      <c r="M337" s="36"/>
      <c r="N337" s="37"/>
      <c r="R337" s="36"/>
      <c r="S337" s="38"/>
      <c r="T337" s="39"/>
      <c r="U337" s="40"/>
      <c r="W337" s="41"/>
      <c r="X337" s="42"/>
    </row>
    <row r="338" spans="13:24" ht="14.25" customHeight="1">
      <c r="M338" s="36"/>
      <c r="N338" s="37"/>
      <c r="R338" s="36"/>
      <c r="S338" s="38"/>
      <c r="T338" s="39"/>
      <c r="U338" s="40"/>
      <c r="W338" s="41"/>
      <c r="X338" s="42"/>
    </row>
    <row r="339" spans="13:24" ht="14.25" customHeight="1">
      <c r="M339" s="36"/>
      <c r="N339" s="37"/>
      <c r="R339" s="36"/>
      <c r="S339" s="38"/>
      <c r="T339" s="39"/>
      <c r="U339" s="40"/>
      <c r="W339" s="41"/>
      <c r="X339" s="42"/>
    </row>
    <row r="340" spans="13:24" ht="14.25" customHeight="1">
      <c r="M340" s="36"/>
      <c r="N340" s="37"/>
      <c r="R340" s="36"/>
      <c r="S340" s="38"/>
      <c r="T340" s="39"/>
      <c r="U340" s="40"/>
      <c r="W340" s="41"/>
      <c r="X340" s="42"/>
    </row>
    <row r="341" spans="13:24" ht="14.25" customHeight="1">
      <c r="M341" s="36"/>
      <c r="N341" s="37"/>
      <c r="R341" s="36"/>
      <c r="S341" s="38"/>
      <c r="T341" s="39"/>
      <c r="U341" s="40"/>
      <c r="W341" s="41"/>
      <c r="X341" s="42"/>
    </row>
    <row r="342" spans="13:24" ht="14.25" customHeight="1">
      <c r="M342" s="36"/>
      <c r="N342" s="37"/>
      <c r="R342" s="36"/>
      <c r="S342" s="38"/>
      <c r="T342" s="39"/>
      <c r="U342" s="40"/>
      <c r="W342" s="41"/>
      <c r="X342" s="42"/>
    </row>
    <row r="343" spans="13:24" ht="14.25" customHeight="1">
      <c r="M343" s="36"/>
      <c r="N343" s="37"/>
      <c r="R343" s="36"/>
      <c r="S343" s="38"/>
      <c r="T343" s="39"/>
      <c r="U343" s="40"/>
      <c r="W343" s="41"/>
      <c r="X343" s="42"/>
    </row>
    <row r="344" spans="13:24" ht="14.25" customHeight="1">
      <c r="M344" s="36"/>
      <c r="N344" s="37"/>
      <c r="R344" s="36"/>
      <c r="S344" s="38"/>
      <c r="T344" s="39"/>
      <c r="U344" s="40"/>
      <c r="W344" s="41"/>
      <c r="X344" s="42"/>
    </row>
    <row r="345" spans="13:24" ht="14.25" customHeight="1">
      <c r="M345" s="36"/>
      <c r="N345" s="37"/>
      <c r="R345" s="36"/>
      <c r="S345" s="38"/>
      <c r="T345" s="39"/>
      <c r="U345" s="40"/>
      <c r="W345" s="41"/>
      <c r="X345" s="42"/>
    </row>
    <row r="346" spans="13:24" ht="14.25" customHeight="1">
      <c r="M346" s="36"/>
      <c r="N346" s="37"/>
      <c r="R346" s="36"/>
      <c r="S346" s="38"/>
      <c r="T346" s="39"/>
      <c r="U346" s="40"/>
      <c r="W346" s="41"/>
      <c r="X346" s="42"/>
    </row>
    <row r="347" spans="13:24" ht="14.25" customHeight="1">
      <c r="M347" s="36"/>
      <c r="N347" s="37"/>
      <c r="R347" s="36"/>
      <c r="S347" s="38"/>
      <c r="T347" s="39"/>
      <c r="U347" s="40"/>
      <c r="W347" s="41"/>
      <c r="X347" s="42"/>
    </row>
    <row r="348" spans="13:24" ht="14.25" customHeight="1">
      <c r="M348" s="36"/>
      <c r="N348" s="37"/>
      <c r="R348" s="36"/>
      <c r="S348" s="38"/>
      <c r="T348" s="39"/>
      <c r="U348" s="40"/>
      <c r="W348" s="41"/>
      <c r="X348" s="42"/>
    </row>
    <row r="349" spans="13:24" ht="14.25" customHeight="1">
      <c r="M349" s="36"/>
      <c r="N349" s="37"/>
      <c r="R349" s="36"/>
      <c r="S349" s="38"/>
      <c r="T349" s="39"/>
      <c r="U349" s="40"/>
      <c r="W349" s="41"/>
      <c r="X349" s="42"/>
    </row>
    <row r="350" spans="13:24" ht="14.25" customHeight="1">
      <c r="M350" s="36"/>
      <c r="N350" s="37"/>
      <c r="R350" s="36"/>
      <c r="S350" s="38"/>
      <c r="T350" s="39"/>
      <c r="U350" s="40"/>
      <c r="W350" s="41"/>
      <c r="X350" s="42"/>
    </row>
    <row r="351" spans="13:24" ht="14.25" customHeight="1">
      <c r="M351" s="36"/>
      <c r="N351" s="37"/>
      <c r="R351" s="36"/>
      <c r="S351" s="38"/>
      <c r="T351" s="39"/>
      <c r="U351" s="40"/>
      <c r="W351" s="41"/>
      <c r="X351" s="42"/>
    </row>
    <row r="352" spans="13:24" ht="14.25" customHeight="1">
      <c r="M352" s="36"/>
      <c r="N352" s="37"/>
      <c r="R352" s="36"/>
      <c r="S352" s="38"/>
      <c r="T352" s="39"/>
      <c r="U352" s="40"/>
      <c r="W352" s="41"/>
      <c r="X352" s="42"/>
    </row>
    <row r="353" spans="13:24" ht="14.25" customHeight="1">
      <c r="M353" s="36"/>
      <c r="N353" s="37"/>
      <c r="R353" s="36"/>
      <c r="S353" s="38"/>
      <c r="T353" s="39"/>
      <c r="U353" s="40"/>
      <c r="W353" s="41"/>
      <c r="X353" s="42"/>
    </row>
    <row r="354" spans="13:24" ht="14.25" customHeight="1">
      <c r="M354" s="36"/>
      <c r="N354" s="37"/>
      <c r="R354" s="36"/>
      <c r="S354" s="38"/>
      <c r="T354" s="39"/>
      <c r="U354" s="40"/>
      <c r="W354" s="41"/>
      <c r="X354" s="42"/>
    </row>
    <row r="355" spans="13:24" ht="14.25" customHeight="1">
      <c r="M355" s="36"/>
      <c r="N355" s="37"/>
      <c r="R355" s="36"/>
      <c r="S355" s="38"/>
      <c r="T355" s="39"/>
      <c r="U355" s="40"/>
      <c r="W355" s="41"/>
      <c r="X355" s="42"/>
    </row>
    <row r="356" spans="13:24" ht="14.25" customHeight="1">
      <c r="M356" s="36"/>
      <c r="N356" s="37"/>
      <c r="R356" s="36"/>
      <c r="S356" s="38"/>
      <c r="T356" s="39"/>
      <c r="U356" s="40"/>
      <c r="W356" s="41"/>
      <c r="X356" s="42"/>
    </row>
    <row r="357" spans="13:24" ht="14.25" customHeight="1">
      <c r="M357" s="36"/>
      <c r="N357" s="37"/>
      <c r="R357" s="36"/>
      <c r="S357" s="38"/>
      <c r="T357" s="39"/>
      <c r="U357" s="40"/>
      <c r="W357" s="41"/>
      <c r="X357" s="42"/>
    </row>
    <row r="358" spans="13:24" ht="14.25" customHeight="1">
      <c r="M358" s="36"/>
      <c r="N358" s="37"/>
      <c r="R358" s="36"/>
      <c r="S358" s="38"/>
      <c r="T358" s="39"/>
      <c r="U358" s="40"/>
      <c r="W358" s="41"/>
      <c r="X358" s="42"/>
    </row>
    <row r="359" spans="13:24" ht="14.25" customHeight="1">
      <c r="M359" s="36"/>
      <c r="N359" s="37"/>
      <c r="R359" s="36"/>
      <c r="S359" s="38"/>
      <c r="T359" s="39"/>
      <c r="U359" s="40"/>
      <c r="W359" s="41"/>
      <c r="X359" s="42"/>
    </row>
    <row r="360" spans="13:24" ht="14.25" customHeight="1">
      <c r="M360" s="36"/>
      <c r="N360" s="37"/>
      <c r="R360" s="36"/>
      <c r="S360" s="38"/>
      <c r="T360" s="39"/>
      <c r="U360" s="40"/>
      <c r="W360" s="41"/>
      <c r="X360" s="42"/>
    </row>
    <row r="361" spans="13:24" ht="14.25" customHeight="1">
      <c r="M361" s="36"/>
      <c r="N361" s="37"/>
      <c r="R361" s="36"/>
      <c r="S361" s="38"/>
      <c r="T361" s="39"/>
      <c r="U361" s="40"/>
      <c r="W361" s="41"/>
      <c r="X361" s="42"/>
    </row>
    <row r="362" spans="13:24" ht="14.25" customHeight="1">
      <c r="M362" s="36"/>
      <c r="N362" s="37"/>
      <c r="R362" s="36"/>
      <c r="S362" s="38"/>
      <c r="T362" s="39"/>
      <c r="U362" s="40"/>
      <c r="W362" s="41"/>
      <c r="X362" s="42"/>
    </row>
    <row r="363" spans="13:24" ht="14.25" customHeight="1">
      <c r="M363" s="36"/>
      <c r="N363" s="37"/>
      <c r="R363" s="36"/>
      <c r="S363" s="38"/>
      <c r="T363" s="39"/>
      <c r="U363" s="40"/>
      <c r="W363" s="41"/>
      <c r="X363" s="42"/>
    </row>
    <row r="364" spans="13:24" ht="14.25" customHeight="1">
      <c r="M364" s="36"/>
      <c r="N364" s="37"/>
      <c r="R364" s="36"/>
      <c r="S364" s="38"/>
      <c r="T364" s="39"/>
      <c r="U364" s="40"/>
      <c r="W364" s="41"/>
      <c r="X364" s="42"/>
    </row>
    <row r="365" spans="13:24" ht="14.25" customHeight="1">
      <c r="M365" s="36"/>
      <c r="N365" s="37"/>
      <c r="R365" s="36"/>
      <c r="S365" s="38"/>
      <c r="T365" s="39"/>
      <c r="U365" s="40"/>
      <c r="W365" s="41"/>
      <c r="X365" s="42"/>
    </row>
    <row r="366" spans="13:24" ht="14.25" customHeight="1">
      <c r="M366" s="36"/>
      <c r="N366" s="37"/>
      <c r="R366" s="36"/>
      <c r="S366" s="38"/>
      <c r="T366" s="39"/>
      <c r="U366" s="40"/>
      <c r="W366" s="41"/>
      <c r="X366" s="42"/>
    </row>
    <row r="367" spans="13:24" ht="14.25" customHeight="1">
      <c r="M367" s="36"/>
      <c r="N367" s="37"/>
      <c r="R367" s="36"/>
      <c r="S367" s="38"/>
      <c r="T367" s="39"/>
      <c r="U367" s="40"/>
      <c r="W367" s="41"/>
      <c r="X367" s="42"/>
    </row>
    <row r="368" spans="13:24" ht="14.25" customHeight="1">
      <c r="M368" s="36"/>
      <c r="N368" s="37"/>
      <c r="R368" s="36"/>
      <c r="S368" s="38"/>
      <c r="T368" s="39"/>
      <c r="U368" s="40"/>
      <c r="W368" s="41"/>
      <c r="X368" s="42"/>
    </row>
    <row r="369" spans="13:24" ht="14.25" customHeight="1">
      <c r="M369" s="36"/>
      <c r="N369" s="37"/>
      <c r="R369" s="36"/>
      <c r="S369" s="38"/>
      <c r="T369" s="39"/>
      <c r="U369" s="40"/>
      <c r="W369" s="41"/>
      <c r="X369" s="42"/>
    </row>
    <row r="370" spans="13:24" ht="14.25" customHeight="1">
      <c r="M370" s="36"/>
      <c r="N370" s="37"/>
      <c r="R370" s="36"/>
      <c r="S370" s="38"/>
      <c r="T370" s="39"/>
      <c r="U370" s="40"/>
      <c r="W370" s="41"/>
      <c r="X370" s="42"/>
    </row>
    <row r="371" spans="13:24" ht="14.25" customHeight="1">
      <c r="M371" s="36"/>
      <c r="N371" s="37"/>
      <c r="R371" s="36"/>
      <c r="S371" s="38"/>
      <c r="T371" s="39"/>
      <c r="U371" s="40"/>
      <c r="W371" s="41"/>
      <c r="X371" s="42"/>
    </row>
    <row r="372" spans="13:24" ht="14.25" customHeight="1">
      <c r="M372" s="36"/>
      <c r="N372" s="37"/>
      <c r="R372" s="36"/>
      <c r="S372" s="38"/>
      <c r="T372" s="39"/>
      <c r="U372" s="40"/>
      <c r="W372" s="41"/>
      <c r="X372" s="42"/>
    </row>
    <row r="373" spans="13:24" ht="14.25" customHeight="1">
      <c r="M373" s="36"/>
      <c r="N373" s="37"/>
      <c r="R373" s="36"/>
      <c r="S373" s="38"/>
      <c r="T373" s="39"/>
      <c r="U373" s="40"/>
      <c r="W373" s="41"/>
      <c r="X373" s="42"/>
    </row>
    <row r="374" spans="13:24" ht="14.25" customHeight="1">
      <c r="M374" s="36"/>
      <c r="N374" s="37"/>
      <c r="R374" s="36"/>
      <c r="S374" s="38"/>
      <c r="T374" s="39"/>
      <c r="U374" s="40"/>
      <c r="W374" s="41"/>
      <c r="X374" s="42"/>
    </row>
    <row r="375" spans="13:24" ht="14.25" customHeight="1">
      <c r="M375" s="36"/>
      <c r="N375" s="37"/>
      <c r="R375" s="36"/>
      <c r="S375" s="38"/>
      <c r="T375" s="39"/>
      <c r="U375" s="40"/>
      <c r="W375" s="41"/>
      <c r="X375" s="42"/>
    </row>
    <row r="376" spans="13:24" ht="14.25" customHeight="1">
      <c r="M376" s="36"/>
      <c r="N376" s="37"/>
      <c r="R376" s="36"/>
      <c r="S376" s="38"/>
      <c r="T376" s="39"/>
      <c r="U376" s="40"/>
      <c r="W376" s="41"/>
      <c r="X376" s="42"/>
    </row>
    <row r="377" spans="13:24" ht="14.25" customHeight="1">
      <c r="M377" s="36"/>
      <c r="N377" s="37"/>
      <c r="R377" s="36"/>
      <c r="S377" s="38"/>
      <c r="T377" s="39"/>
      <c r="U377" s="40"/>
      <c r="W377" s="41"/>
      <c r="X377" s="42"/>
    </row>
    <row r="378" spans="13:24" ht="14.25" customHeight="1">
      <c r="M378" s="36"/>
      <c r="N378" s="37"/>
      <c r="R378" s="36"/>
      <c r="S378" s="38"/>
      <c r="T378" s="39"/>
      <c r="U378" s="40"/>
      <c r="W378" s="41"/>
      <c r="X378" s="42"/>
    </row>
    <row r="379" spans="13:24" ht="14.25" customHeight="1">
      <c r="M379" s="36"/>
      <c r="N379" s="37"/>
      <c r="R379" s="36"/>
      <c r="S379" s="38"/>
      <c r="T379" s="39"/>
      <c r="U379" s="40"/>
      <c r="W379" s="41"/>
      <c r="X379" s="42"/>
    </row>
    <row r="380" spans="13:24" ht="14.25" customHeight="1">
      <c r="M380" s="36"/>
      <c r="N380" s="37"/>
      <c r="R380" s="36"/>
      <c r="S380" s="38"/>
      <c r="T380" s="39"/>
      <c r="U380" s="40"/>
      <c r="W380" s="41"/>
      <c r="X380" s="42"/>
    </row>
    <row r="381" spans="13:24" ht="14.25" customHeight="1">
      <c r="M381" s="36"/>
      <c r="N381" s="37"/>
      <c r="R381" s="36"/>
      <c r="S381" s="38"/>
      <c r="T381" s="39"/>
      <c r="U381" s="40"/>
      <c r="W381" s="41"/>
      <c r="X381" s="42"/>
    </row>
    <row r="382" spans="13:24" ht="14.25" customHeight="1">
      <c r="M382" s="36"/>
      <c r="N382" s="37"/>
      <c r="R382" s="36"/>
      <c r="S382" s="38"/>
      <c r="T382" s="39"/>
      <c r="U382" s="40"/>
      <c r="W382" s="41"/>
      <c r="X382" s="42"/>
    </row>
    <row r="383" spans="13:24" ht="14.25" customHeight="1">
      <c r="M383" s="36"/>
      <c r="N383" s="37"/>
      <c r="R383" s="36"/>
      <c r="S383" s="38"/>
      <c r="T383" s="39"/>
      <c r="U383" s="40"/>
      <c r="W383" s="41"/>
      <c r="X383" s="42"/>
    </row>
    <row r="384" spans="13:24" ht="14.25" customHeight="1">
      <c r="M384" s="36"/>
      <c r="N384" s="37"/>
      <c r="R384" s="36"/>
      <c r="S384" s="38"/>
      <c r="T384" s="39"/>
      <c r="U384" s="40"/>
      <c r="W384" s="41"/>
      <c r="X384" s="42"/>
    </row>
    <row r="385" spans="13:24" ht="14.25" customHeight="1">
      <c r="M385" s="36"/>
      <c r="N385" s="37"/>
      <c r="R385" s="36"/>
      <c r="S385" s="38"/>
      <c r="T385" s="39"/>
      <c r="U385" s="40"/>
      <c r="W385" s="41"/>
      <c r="X385" s="42"/>
    </row>
    <row r="386" spans="13:24" ht="14.25" customHeight="1">
      <c r="M386" s="36"/>
      <c r="N386" s="37"/>
      <c r="R386" s="36"/>
      <c r="S386" s="38"/>
      <c r="T386" s="39"/>
      <c r="U386" s="40"/>
      <c r="W386" s="41"/>
      <c r="X386" s="42"/>
    </row>
    <row r="387" spans="13:24" ht="14.25" customHeight="1">
      <c r="M387" s="36"/>
      <c r="N387" s="37"/>
      <c r="R387" s="36"/>
      <c r="S387" s="38"/>
      <c r="T387" s="39"/>
      <c r="U387" s="40"/>
      <c r="W387" s="41"/>
      <c r="X387" s="42"/>
    </row>
    <row r="388" spans="13:24" ht="14.25" customHeight="1">
      <c r="M388" s="36"/>
      <c r="N388" s="37"/>
      <c r="R388" s="36"/>
      <c r="S388" s="38"/>
      <c r="T388" s="39"/>
      <c r="U388" s="40"/>
      <c r="W388" s="41"/>
      <c r="X388" s="42"/>
    </row>
    <row r="389" spans="13:24" ht="14.25" customHeight="1">
      <c r="M389" s="36"/>
      <c r="N389" s="37"/>
      <c r="R389" s="36"/>
      <c r="S389" s="38"/>
      <c r="T389" s="39"/>
      <c r="U389" s="40"/>
      <c r="W389" s="41"/>
      <c r="X389" s="42"/>
    </row>
    <row r="390" spans="13:24" ht="14.25" customHeight="1">
      <c r="M390" s="36"/>
      <c r="N390" s="37"/>
      <c r="R390" s="36"/>
      <c r="S390" s="38"/>
      <c r="T390" s="39"/>
      <c r="U390" s="40"/>
      <c r="W390" s="41"/>
      <c r="X390" s="42"/>
    </row>
    <row r="391" spans="13:24" ht="14.25" customHeight="1">
      <c r="M391" s="36"/>
      <c r="N391" s="37"/>
      <c r="R391" s="36"/>
      <c r="S391" s="38"/>
      <c r="T391" s="39"/>
      <c r="U391" s="40"/>
      <c r="W391" s="41"/>
      <c r="X391" s="42"/>
    </row>
    <row r="392" spans="13:24" ht="14.25" customHeight="1">
      <c r="M392" s="36"/>
      <c r="N392" s="37"/>
      <c r="R392" s="36"/>
      <c r="S392" s="38"/>
      <c r="T392" s="39"/>
      <c r="U392" s="40"/>
      <c r="W392" s="41"/>
      <c r="X392" s="42"/>
    </row>
    <row r="393" spans="13:24" ht="14.25" customHeight="1">
      <c r="M393" s="36"/>
      <c r="N393" s="37"/>
      <c r="R393" s="36"/>
      <c r="S393" s="38"/>
      <c r="T393" s="39"/>
      <c r="U393" s="40"/>
      <c r="W393" s="41"/>
      <c r="X393" s="42"/>
    </row>
    <row r="394" spans="13:24" ht="14.25" customHeight="1">
      <c r="M394" s="36"/>
      <c r="N394" s="37"/>
      <c r="R394" s="36"/>
      <c r="S394" s="38"/>
      <c r="T394" s="39"/>
      <c r="U394" s="40"/>
      <c r="W394" s="41"/>
      <c r="X394" s="42"/>
    </row>
    <row r="395" spans="13:24" ht="14.25" customHeight="1">
      <c r="M395" s="36"/>
      <c r="N395" s="37"/>
      <c r="R395" s="36"/>
      <c r="S395" s="38"/>
      <c r="T395" s="39"/>
      <c r="U395" s="40"/>
      <c r="W395" s="41"/>
      <c r="X395" s="42"/>
    </row>
    <row r="396" spans="13:24" ht="14.25" customHeight="1">
      <c r="M396" s="36"/>
      <c r="N396" s="37"/>
      <c r="R396" s="36"/>
      <c r="S396" s="38"/>
      <c r="T396" s="39"/>
      <c r="U396" s="40"/>
      <c r="W396" s="41"/>
      <c r="X396" s="42"/>
    </row>
    <row r="397" spans="13:24" ht="14.25" customHeight="1">
      <c r="M397" s="36"/>
      <c r="N397" s="37"/>
      <c r="R397" s="36"/>
      <c r="S397" s="38"/>
      <c r="T397" s="39"/>
      <c r="U397" s="40"/>
      <c r="W397" s="41"/>
      <c r="X397" s="42"/>
    </row>
    <row r="398" spans="13:24" ht="14.25" customHeight="1">
      <c r="M398" s="36"/>
      <c r="N398" s="37"/>
      <c r="R398" s="36"/>
      <c r="S398" s="38"/>
      <c r="T398" s="39"/>
      <c r="U398" s="40"/>
      <c r="W398" s="41"/>
      <c r="X398" s="42"/>
    </row>
    <row r="399" spans="13:24" ht="14.25" customHeight="1">
      <c r="M399" s="36"/>
      <c r="N399" s="37"/>
      <c r="R399" s="36"/>
      <c r="S399" s="38"/>
      <c r="T399" s="39"/>
      <c r="U399" s="40"/>
      <c r="W399" s="41"/>
      <c r="X399" s="42"/>
    </row>
    <row r="400" spans="13:24" ht="14.25" customHeight="1">
      <c r="M400" s="36"/>
      <c r="N400" s="37"/>
      <c r="R400" s="36"/>
      <c r="S400" s="38"/>
      <c r="T400" s="39"/>
      <c r="U400" s="40"/>
      <c r="W400" s="41"/>
      <c r="X400" s="42"/>
    </row>
    <row r="401" spans="13:24" ht="14.25" customHeight="1">
      <c r="M401" s="36"/>
      <c r="N401" s="37"/>
      <c r="R401" s="36"/>
      <c r="S401" s="38"/>
      <c r="T401" s="39"/>
      <c r="U401" s="40"/>
      <c r="W401" s="41"/>
      <c r="X401" s="42"/>
    </row>
    <row r="402" spans="13:24" ht="14.25" customHeight="1">
      <c r="M402" s="36"/>
      <c r="N402" s="37"/>
      <c r="R402" s="36"/>
      <c r="S402" s="38"/>
      <c r="T402" s="39"/>
      <c r="U402" s="40"/>
      <c r="W402" s="41"/>
      <c r="X402" s="42"/>
    </row>
    <row r="403" spans="13:24" ht="14.25" customHeight="1">
      <c r="M403" s="36"/>
      <c r="N403" s="37"/>
      <c r="R403" s="36"/>
      <c r="S403" s="38"/>
      <c r="T403" s="39"/>
      <c r="U403" s="40"/>
      <c r="W403" s="41"/>
      <c r="X403" s="42"/>
    </row>
    <row r="404" spans="13:24" ht="14.25" customHeight="1">
      <c r="M404" s="36"/>
      <c r="N404" s="37"/>
      <c r="R404" s="36"/>
      <c r="S404" s="38"/>
      <c r="T404" s="39"/>
      <c r="U404" s="40"/>
      <c r="W404" s="41"/>
      <c r="X404" s="42"/>
    </row>
    <row r="405" spans="13:24" ht="14.25" customHeight="1">
      <c r="M405" s="36"/>
      <c r="N405" s="37"/>
      <c r="R405" s="36"/>
      <c r="S405" s="38"/>
      <c r="T405" s="39"/>
      <c r="U405" s="40"/>
      <c r="W405" s="41"/>
      <c r="X405" s="42"/>
    </row>
    <row r="406" spans="13:24" ht="14.25" customHeight="1">
      <c r="M406" s="36"/>
      <c r="N406" s="37"/>
      <c r="R406" s="36"/>
      <c r="S406" s="38"/>
      <c r="T406" s="39"/>
      <c r="U406" s="40"/>
      <c r="W406" s="41"/>
      <c r="X406" s="42"/>
    </row>
    <row r="407" spans="13:24" ht="14.25" customHeight="1">
      <c r="M407" s="36"/>
      <c r="N407" s="37"/>
      <c r="R407" s="36"/>
      <c r="S407" s="38"/>
      <c r="T407" s="39"/>
      <c r="U407" s="40"/>
      <c r="W407" s="41"/>
      <c r="X407" s="42"/>
    </row>
    <row r="408" spans="13:24" ht="14.25" customHeight="1">
      <c r="M408" s="36"/>
      <c r="N408" s="37"/>
      <c r="R408" s="36"/>
      <c r="S408" s="38"/>
      <c r="T408" s="39"/>
      <c r="U408" s="40"/>
      <c r="W408" s="41"/>
      <c r="X408" s="42"/>
    </row>
    <row r="409" spans="13:24" ht="14.25" customHeight="1">
      <c r="M409" s="36"/>
      <c r="N409" s="37"/>
      <c r="R409" s="36"/>
      <c r="S409" s="38"/>
      <c r="T409" s="39"/>
      <c r="U409" s="40"/>
      <c r="W409" s="41"/>
      <c r="X409" s="42"/>
    </row>
    <row r="410" spans="13:24" ht="14.25" customHeight="1">
      <c r="M410" s="36"/>
      <c r="N410" s="37"/>
      <c r="R410" s="36"/>
      <c r="S410" s="38"/>
      <c r="T410" s="39"/>
      <c r="U410" s="40"/>
      <c r="W410" s="41"/>
      <c r="X410" s="42"/>
    </row>
    <row r="411" spans="13:24" ht="14.25" customHeight="1">
      <c r="M411" s="36"/>
      <c r="N411" s="37"/>
      <c r="R411" s="36"/>
      <c r="S411" s="38"/>
      <c r="T411" s="39"/>
      <c r="U411" s="40"/>
      <c r="W411" s="41"/>
      <c r="X411" s="42"/>
    </row>
    <row r="412" spans="13:24" ht="14.25" customHeight="1">
      <c r="M412" s="36"/>
      <c r="N412" s="37"/>
      <c r="R412" s="36"/>
      <c r="S412" s="38"/>
      <c r="T412" s="39"/>
      <c r="U412" s="40"/>
      <c r="W412" s="41"/>
      <c r="X412" s="42"/>
    </row>
    <row r="413" spans="13:24" ht="14.25" customHeight="1">
      <c r="M413" s="36"/>
      <c r="N413" s="37"/>
      <c r="R413" s="36"/>
      <c r="S413" s="38"/>
      <c r="T413" s="39"/>
      <c r="U413" s="40"/>
      <c r="W413" s="41"/>
      <c r="X413" s="42"/>
    </row>
    <row r="414" spans="13:24" ht="14.25" customHeight="1">
      <c r="M414" s="36"/>
      <c r="N414" s="37"/>
      <c r="R414" s="36"/>
      <c r="S414" s="38"/>
      <c r="T414" s="39"/>
      <c r="U414" s="40"/>
      <c r="W414" s="41"/>
      <c r="X414" s="42"/>
    </row>
    <row r="415" spans="13:24" ht="14.25" customHeight="1">
      <c r="M415" s="36"/>
      <c r="N415" s="37"/>
      <c r="R415" s="36"/>
      <c r="S415" s="38"/>
      <c r="T415" s="39"/>
      <c r="U415" s="40"/>
      <c r="W415" s="41"/>
      <c r="X415" s="42"/>
    </row>
    <row r="416" spans="13:24" ht="14.25" customHeight="1">
      <c r="M416" s="36"/>
      <c r="N416" s="37"/>
      <c r="R416" s="36"/>
      <c r="S416" s="38"/>
      <c r="T416" s="39"/>
      <c r="U416" s="40"/>
      <c r="W416" s="41"/>
      <c r="X416" s="42"/>
    </row>
    <row r="417" spans="13:24" ht="14.25" customHeight="1">
      <c r="M417" s="36"/>
      <c r="N417" s="37"/>
      <c r="R417" s="36"/>
      <c r="S417" s="38"/>
      <c r="T417" s="39"/>
      <c r="U417" s="40"/>
      <c r="W417" s="41"/>
      <c r="X417" s="42"/>
    </row>
    <row r="418" spans="13:24" ht="14.25" customHeight="1">
      <c r="M418" s="36"/>
      <c r="N418" s="37"/>
      <c r="R418" s="36"/>
      <c r="S418" s="38"/>
      <c r="T418" s="39"/>
      <c r="U418" s="40"/>
      <c r="W418" s="41"/>
      <c r="X418" s="42"/>
    </row>
    <row r="419" spans="13:24" ht="14.25" customHeight="1">
      <c r="M419" s="36"/>
      <c r="N419" s="37"/>
      <c r="R419" s="36"/>
      <c r="S419" s="38"/>
      <c r="T419" s="39"/>
      <c r="U419" s="40"/>
      <c r="W419" s="41"/>
      <c r="X419" s="42"/>
    </row>
    <row r="420" spans="13:24" ht="14.25" customHeight="1">
      <c r="M420" s="36"/>
      <c r="N420" s="37"/>
      <c r="R420" s="36"/>
      <c r="S420" s="38"/>
      <c r="T420" s="39"/>
      <c r="U420" s="40"/>
      <c r="W420" s="41"/>
      <c r="X420" s="42"/>
    </row>
    <row r="421" spans="13:24" ht="14.25" customHeight="1">
      <c r="M421" s="36"/>
      <c r="N421" s="37"/>
      <c r="R421" s="36"/>
      <c r="S421" s="38"/>
      <c r="T421" s="39"/>
      <c r="U421" s="40"/>
      <c r="W421" s="41"/>
      <c r="X421" s="42"/>
    </row>
    <row r="422" spans="13:24" ht="14.25" customHeight="1">
      <c r="M422" s="36"/>
      <c r="N422" s="37"/>
      <c r="R422" s="36"/>
      <c r="S422" s="38"/>
      <c r="T422" s="39"/>
      <c r="U422" s="40"/>
      <c r="W422" s="41"/>
      <c r="X422" s="42"/>
    </row>
    <row r="423" spans="13:24" ht="14.25" customHeight="1">
      <c r="M423" s="36"/>
      <c r="N423" s="37"/>
      <c r="R423" s="36"/>
      <c r="S423" s="38"/>
      <c r="T423" s="39"/>
      <c r="U423" s="40"/>
      <c r="W423" s="41"/>
      <c r="X423" s="42"/>
    </row>
    <row r="424" spans="13:24" ht="14.25" customHeight="1">
      <c r="M424" s="36"/>
      <c r="N424" s="37"/>
      <c r="R424" s="36"/>
      <c r="S424" s="38"/>
      <c r="T424" s="39"/>
      <c r="U424" s="40"/>
      <c r="W424" s="41"/>
      <c r="X424" s="42"/>
    </row>
    <row r="425" spans="13:24" ht="14.25" customHeight="1">
      <c r="M425" s="36"/>
      <c r="N425" s="37"/>
      <c r="R425" s="36"/>
      <c r="S425" s="38"/>
      <c r="T425" s="39"/>
      <c r="U425" s="40"/>
      <c r="W425" s="41"/>
      <c r="X425" s="42"/>
    </row>
    <row r="426" spans="13:24" ht="14.25" customHeight="1">
      <c r="M426" s="36"/>
      <c r="N426" s="37"/>
      <c r="R426" s="36"/>
      <c r="S426" s="38"/>
      <c r="T426" s="39"/>
      <c r="U426" s="40"/>
      <c r="W426" s="41"/>
      <c r="X426" s="42"/>
    </row>
    <row r="427" spans="13:24" ht="14.25" customHeight="1">
      <c r="M427" s="36"/>
      <c r="N427" s="37"/>
      <c r="R427" s="36"/>
      <c r="S427" s="38"/>
      <c r="T427" s="39"/>
      <c r="U427" s="40"/>
      <c r="W427" s="41"/>
      <c r="X427" s="42"/>
    </row>
    <row r="428" spans="13:24" ht="14.25" customHeight="1">
      <c r="M428" s="36"/>
      <c r="N428" s="37"/>
      <c r="R428" s="36"/>
      <c r="S428" s="38"/>
      <c r="T428" s="39"/>
      <c r="U428" s="40"/>
      <c r="W428" s="41"/>
      <c r="X428" s="42"/>
    </row>
    <row r="429" spans="13:24" ht="14.25" customHeight="1">
      <c r="M429" s="36"/>
      <c r="N429" s="37"/>
      <c r="R429" s="36"/>
      <c r="S429" s="38"/>
      <c r="T429" s="39"/>
      <c r="U429" s="40"/>
      <c r="W429" s="41"/>
      <c r="X429" s="42"/>
    </row>
    <row r="430" spans="13:24" ht="14.25" customHeight="1">
      <c r="M430" s="36"/>
      <c r="N430" s="37"/>
      <c r="R430" s="36"/>
      <c r="S430" s="38"/>
      <c r="T430" s="39"/>
      <c r="U430" s="40"/>
      <c r="W430" s="41"/>
      <c r="X430" s="42"/>
    </row>
    <row r="431" spans="13:24" ht="14.25" customHeight="1">
      <c r="M431" s="36"/>
      <c r="N431" s="37"/>
      <c r="R431" s="36"/>
      <c r="S431" s="38"/>
      <c r="T431" s="39"/>
      <c r="U431" s="40"/>
      <c r="W431" s="41"/>
      <c r="X431" s="42"/>
    </row>
    <row r="432" spans="13:24" ht="14.25" customHeight="1">
      <c r="M432" s="36"/>
      <c r="N432" s="37"/>
      <c r="R432" s="36"/>
      <c r="S432" s="38"/>
      <c r="T432" s="39"/>
      <c r="U432" s="40"/>
      <c r="W432" s="41"/>
      <c r="X432" s="42"/>
    </row>
    <row r="433" spans="13:24" ht="14.25" customHeight="1">
      <c r="M433" s="36"/>
      <c r="N433" s="37"/>
      <c r="R433" s="36"/>
      <c r="S433" s="38"/>
      <c r="T433" s="39"/>
      <c r="U433" s="40"/>
      <c r="W433" s="41"/>
      <c r="X433" s="42"/>
    </row>
    <row r="434" spans="13:24" ht="14.25" customHeight="1">
      <c r="M434" s="36"/>
      <c r="N434" s="37"/>
      <c r="R434" s="36"/>
      <c r="S434" s="38"/>
      <c r="T434" s="39"/>
      <c r="U434" s="40"/>
      <c r="W434" s="41"/>
      <c r="X434" s="42"/>
    </row>
    <row r="435" spans="13:24" ht="14.25" customHeight="1">
      <c r="M435" s="36"/>
      <c r="N435" s="37"/>
      <c r="R435" s="36"/>
      <c r="S435" s="38"/>
      <c r="T435" s="39"/>
      <c r="U435" s="40"/>
      <c r="W435" s="41"/>
      <c r="X435" s="42"/>
    </row>
    <row r="436" spans="13:24" ht="14.25" customHeight="1">
      <c r="M436" s="36"/>
      <c r="N436" s="37"/>
      <c r="R436" s="36"/>
      <c r="S436" s="38"/>
      <c r="T436" s="39"/>
      <c r="U436" s="40"/>
      <c r="W436" s="41"/>
      <c r="X436" s="42"/>
    </row>
    <row r="437" spans="13:24" ht="14.25" customHeight="1">
      <c r="M437" s="36"/>
      <c r="N437" s="37"/>
      <c r="R437" s="36"/>
      <c r="S437" s="38"/>
      <c r="T437" s="39"/>
      <c r="U437" s="40"/>
      <c r="W437" s="41"/>
      <c r="X437" s="42"/>
    </row>
    <row r="438" spans="13:24" ht="14.25" customHeight="1">
      <c r="M438" s="36"/>
      <c r="N438" s="37"/>
      <c r="R438" s="36"/>
      <c r="S438" s="38"/>
      <c r="T438" s="39"/>
      <c r="U438" s="40"/>
      <c r="W438" s="41"/>
      <c r="X438" s="42"/>
    </row>
    <row r="439" spans="13:24" ht="14.25" customHeight="1">
      <c r="M439" s="36"/>
      <c r="N439" s="37"/>
      <c r="R439" s="36"/>
      <c r="S439" s="38"/>
      <c r="T439" s="39"/>
      <c r="U439" s="40"/>
      <c r="W439" s="41"/>
      <c r="X439" s="42"/>
    </row>
    <row r="440" spans="13:24" ht="14.25" customHeight="1">
      <c r="M440" s="36"/>
      <c r="N440" s="37"/>
      <c r="R440" s="36"/>
      <c r="S440" s="38"/>
      <c r="T440" s="39"/>
      <c r="U440" s="40"/>
      <c r="W440" s="41"/>
      <c r="X440" s="42"/>
    </row>
    <row r="441" spans="13:24" ht="14.25" customHeight="1">
      <c r="M441" s="36"/>
      <c r="N441" s="37"/>
      <c r="R441" s="36"/>
      <c r="S441" s="38"/>
      <c r="T441" s="39"/>
      <c r="U441" s="40"/>
      <c r="W441" s="41"/>
      <c r="X441" s="42"/>
    </row>
    <row r="442" spans="13:24" ht="14.25" customHeight="1">
      <c r="M442" s="36"/>
      <c r="N442" s="37"/>
      <c r="R442" s="36"/>
      <c r="S442" s="38"/>
      <c r="T442" s="39"/>
      <c r="U442" s="40"/>
      <c r="W442" s="41"/>
      <c r="X442" s="42"/>
    </row>
    <row r="443" spans="13:24" ht="14.25" customHeight="1">
      <c r="M443" s="36"/>
      <c r="N443" s="37"/>
      <c r="R443" s="36"/>
      <c r="S443" s="38"/>
      <c r="T443" s="39"/>
      <c r="U443" s="40"/>
      <c r="W443" s="41"/>
      <c r="X443" s="42"/>
    </row>
    <row r="444" spans="13:24" ht="14.25" customHeight="1">
      <c r="M444" s="36"/>
      <c r="N444" s="37"/>
      <c r="R444" s="36"/>
      <c r="S444" s="38"/>
      <c r="T444" s="39"/>
      <c r="U444" s="40"/>
      <c r="W444" s="41"/>
      <c r="X444" s="42"/>
    </row>
    <row r="445" spans="13:24" ht="14.25" customHeight="1">
      <c r="M445" s="36"/>
      <c r="N445" s="37"/>
      <c r="R445" s="36"/>
      <c r="S445" s="38"/>
      <c r="T445" s="39"/>
      <c r="U445" s="40"/>
      <c r="W445" s="41"/>
      <c r="X445" s="42"/>
    </row>
    <row r="446" spans="13:24" ht="14.25" customHeight="1">
      <c r="M446" s="36"/>
      <c r="N446" s="37"/>
      <c r="R446" s="36"/>
      <c r="S446" s="38"/>
      <c r="T446" s="39"/>
      <c r="U446" s="40"/>
      <c r="W446" s="41"/>
      <c r="X446" s="42"/>
    </row>
    <row r="447" spans="13:24" ht="14.25" customHeight="1">
      <c r="M447" s="36"/>
      <c r="N447" s="37"/>
      <c r="R447" s="36"/>
      <c r="S447" s="38"/>
      <c r="T447" s="39"/>
      <c r="U447" s="40"/>
      <c r="W447" s="41"/>
      <c r="X447" s="42"/>
    </row>
    <row r="448" spans="13:24" ht="14.25" customHeight="1">
      <c r="M448" s="36"/>
      <c r="N448" s="37"/>
      <c r="R448" s="36"/>
      <c r="S448" s="38"/>
      <c r="T448" s="39"/>
      <c r="U448" s="40"/>
      <c r="W448" s="41"/>
      <c r="X448" s="42"/>
    </row>
    <row r="449" spans="13:24" ht="14.25" customHeight="1">
      <c r="M449" s="36"/>
      <c r="N449" s="37"/>
      <c r="R449" s="36"/>
      <c r="S449" s="38"/>
      <c r="T449" s="39"/>
      <c r="U449" s="40"/>
      <c r="W449" s="41"/>
      <c r="X449" s="42"/>
    </row>
    <row r="450" spans="13:24" ht="14.25" customHeight="1">
      <c r="M450" s="36"/>
      <c r="N450" s="37"/>
      <c r="R450" s="36"/>
      <c r="S450" s="38"/>
      <c r="T450" s="39"/>
      <c r="U450" s="40"/>
      <c r="W450" s="41"/>
      <c r="X450" s="42"/>
    </row>
    <row r="451" spans="13:24" ht="14.25" customHeight="1">
      <c r="M451" s="36"/>
      <c r="N451" s="37"/>
      <c r="R451" s="36"/>
      <c r="S451" s="38"/>
      <c r="T451" s="39"/>
      <c r="U451" s="40"/>
      <c r="W451" s="41"/>
      <c r="X451" s="42"/>
    </row>
    <row r="452" spans="13:24" ht="14.25" customHeight="1">
      <c r="M452" s="36"/>
      <c r="N452" s="37"/>
      <c r="R452" s="36"/>
      <c r="S452" s="38"/>
      <c r="T452" s="39"/>
      <c r="U452" s="40"/>
      <c r="W452" s="41"/>
      <c r="X452" s="42"/>
    </row>
    <row r="453" spans="13:24" ht="14.25" customHeight="1">
      <c r="M453" s="36"/>
      <c r="N453" s="37"/>
      <c r="R453" s="36"/>
      <c r="S453" s="38"/>
      <c r="T453" s="39"/>
      <c r="U453" s="40"/>
      <c r="W453" s="41"/>
      <c r="X453" s="42"/>
    </row>
    <row r="454" spans="13:24" ht="14.25" customHeight="1">
      <c r="M454" s="36"/>
      <c r="N454" s="37"/>
      <c r="R454" s="36"/>
      <c r="S454" s="38"/>
      <c r="T454" s="39"/>
      <c r="U454" s="40"/>
      <c r="W454" s="41"/>
      <c r="X454" s="42"/>
    </row>
    <row r="455" spans="13:24" ht="14.25" customHeight="1">
      <c r="M455" s="36"/>
      <c r="N455" s="37"/>
      <c r="R455" s="36"/>
      <c r="S455" s="38"/>
      <c r="T455" s="39"/>
      <c r="U455" s="40"/>
      <c r="W455" s="41"/>
      <c r="X455" s="42"/>
    </row>
    <row r="456" spans="13:24" ht="14.25" customHeight="1">
      <c r="M456" s="36"/>
      <c r="N456" s="37"/>
      <c r="R456" s="36"/>
      <c r="S456" s="38"/>
      <c r="T456" s="39"/>
      <c r="U456" s="40"/>
      <c r="W456" s="41"/>
      <c r="X456" s="42"/>
    </row>
    <row r="457" spans="13:24" ht="14.25" customHeight="1">
      <c r="M457" s="36"/>
      <c r="N457" s="37"/>
      <c r="R457" s="36"/>
      <c r="S457" s="38"/>
      <c r="T457" s="39"/>
      <c r="U457" s="40"/>
      <c r="W457" s="41"/>
      <c r="X457" s="42"/>
    </row>
    <row r="458" spans="13:24" ht="14.25" customHeight="1">
      <c r="M458" s="36"/>
      <c r="N458" s="37"/>
      <c r="R458" s="36"/>
      <c r="S458" s="38"/>
      <c r="T458" s="39"/>
      <c r="U458" s="40"/>
      <c r="W458" s="41"/>
      <c r="X458" s="42"/>
    </row>
    <row r="459" spans="13:24" ht="14.25" customHeight="1">
      <c r="M459" s="36"/>
      <c r="N459" s="37"/>
      <c r="R459" s="36"/>
      <c r="S459" s="38"/>
      <c r="T459" s="39"/>
      <c r="U459" s="40"/>
      <c r="W459" s="41"/>
      <c r="X459" s="42"/>
    </row>
    <row r="460" spans="13:24" ht="14.25" customHeight="1">
      <c r="M460" s="36"/>
      <c r="N460" s="37"/>
      <c r="R460" s="36"/>
      <c r="S460" s="38"/>
      <c r="T460" s="39"/>
      <c r="U460" s="40"/>
      <c r="W460" s="41"/>
      <c r="X460" s="42"/>
    </row>
    <row r="461" spans="13:24" ht="14.25" customHeight="1">
      <c r="M461" s="36"/>
      <c r="N461" s="37"/>
      <c r="R461" s="36"/>
      <c r="S461" s="38"/>
      <c r="T461" s="39"/>
      <c r="U461" s="40"/>
      <c r="W461" s="41"/>
      <c r="X461" s="42"/>
    </row>
    <row r="462" spans="13:24" ht="14.25" customHeight="1">
      <c r="M462" s="36"/>
      <c r="N462" s="37"/>
      <c r="R462" s="36"/>
      <c r="S462" s="38"/>
      <c r="T462" s="39"/>
      <c r="U462" s="40"/>
      <c r="W462" s="41"/>
      <c r="X462" s="42"/>
    </row>
    <row r="463" spans="13:24" ht="14.25" customHeight="1">
      <c r="M463" s="36"/>
      <c r="N463" s="37"/>
      <c r="R463" s="36"/>
      <c r="S463" s="38"/>
      <c r="T463" s="39"/>
      <c r="U463" s="40"/>
      <c r="W463" s="41"/>
      <c r="X463" s="42"/>
    </row>
    <row r="464" spans="13:24" ht="14.25" customHeight="1">
      <c r="M464" s="36"/>
      <c r="N464" s="37"/>
      <c r="R464" s="36"/>
      <c r="S464" s="38"/>
      <c r="T464" s="39"/>
      <c r="U464" s="40"/>
      <c r="W464" s="41"/>
      <c r="X464" s="42"/>
    </row>
    <row r="465" spans="13:24" ht="14.25" customHeight="1">
      <c r="M465" s="36"/>
      <c r="N465" s="37"/>
      <c r="R465" s="36"/>
      <c r="S465" s="38"/>
      <c r="T465" s="39"/>
      <c r="U465" s="40"/>
      <c r="W465" s="41"/>
      <c r="X465" s="42"/>
    </row>
    <row r="466" spans="13:24" ht="14.25" customHeight="1">
      <c r="M466" s="36"/>
      <c r="N466" s="37"/>
      <c r="R466" s="36"/>
      <c r="S466" s="38"/>
      <c r="T466" s="39"/>
      <c r="U466" s="40"/>
      <c r="W466" s="41"/>
      <c r="X466" s="42"/>
    </row>
    <row r="467" spans="13:24" ht="14.25" customHeight="1">
      <c r="M467" s="36"/>
      <c r="N467" s="37"/>
      <c r="R467" s="36"/>
      <c r="S467" s="38"/>
      <c r="T467" s="39"/>
      <c r="U467" s="40"/>
      <c r="W467" s="41"/>
      <c r="X467" s="42"/>
    </row>
    <row r="468" spans="13:24" ht="14.25" customHeight="1">
      <c r="M468" s="36"/>
      <c r="N468" s="37"/>
      <c r="R468" s="36"/>
      <c r="S468" s="38"/>
      <c r="T468" s="39"/>
      <c r="U468" s="40"/>
      <c r="W468" s="41"/>
      <c r="X468" s="42"/>
    </row>
    <row r="469" spans="13:24" ht="14.25" customHeight="1">
      <c r="M469" s="36"/>
      <c r="N469" s="37"/>
      <c r="R469" s="36"/>
      <c r="S469" s="38"/>
      <c r="T469" s="39"/>
      <c r="U469" s="40"/>
      <c r="W469" s="41"/>
      <c r="X469" s="42"/>
    </row>
    <row r="470" spans="13:24" ht="14.25" customHeight="1">
      <c r="M470" s="36"/>
      <c r="N470" s="37"/>
      <c r="R470" s="36"/>
      <c r="S470" s="38"/>
      <c r="T470" s="39"/>
      <c r="U470" s="40"/>
      <c r="W470" s="41"/>
      <c r="X470" s="42"/>
    </row>
    <row r="471" spans="13:24" ht="14.25" customHeight="1">
      <c r="M471" s="36"/>
      <c r="N471" s="37"/>
      <c r="R471" s="36"/>
      <c r="S471" s="38"/>
      <c r="T471" s="39"/>
      <c r="U471" s="40"/>
      <c r="W471" s="41"/>
      <c r="X471" s="42"/>
    </row>
    <row r="472" spans="13:24" ht="14.25" customHeight="1">
      <c r="M472" s="36"/>
      <c r="N472" s="37"/>
      <c r="R472" s="36"/>
      <c r="S472" s="38"/>
      <c r="T472" s="39"/>
      <c r="U472" s="40"/>
      <c r="W472" s="41"/>
      <c r="X472" s="42"/>
    </row>
    <row r="473" spans="13:24" ht="14.25" customHeight="1">
      <c r="M473" s="36"/>
      <c r="N473" s="37"/>
      <c r="R473" s="36"/>
      <c r="S473" s="38"/>
      <c r="T473" s="39"/>
      <c r="U473" s="40"/>
      <c r="W473" s="41"/>
      <c r="X473" s="42"/>
    </row>
    <row r="474" spans="13:24" ht="14.25" customHeight="1">
      <c r="M474" s="36"/>
      <c r="N474" s="37"/>
      <c r="R474" s="36"/>
      <c r="S474" s="38"/>
      <c r="T474" s="39"/>
      <c r="U474" s="40"/>
      <c r="W474" s="41"/>
      <c r="X474" s="42"/>
    </row>
    <row r="475" spans="13:24" ht="14.25" customHeight="1">
      <c r="M475" s="36"/>
      <c r="N475" s="37"/>
      <c r="R475" s="36"/>
      <c r="S475" s="38"/>
      <c r="T475" s="39"/>
      <c r="U475" s="40"/>
      <c r="W475" s="41"/>
      <c r="X475" s="42"/>
    </row>
    <row r="476" spans="13:24" ht="14.25" customHeight="1">
      <c r="M476" s="36"/>
      <c r="N476" s="37"/>
      <c r="R476" s="36"/>
      <c r="S476" s="38"/>
      <c r="T476" s="39"/>
      <c r="U476" s="40"/>
      <c r="W476" s="41"/>
      <c r="X476" s="42"/>
    </row>
    <row r="477" spans="13:24" ht="14.25" customHeight="1">
      <c r="M477" s="36"/>
      <c r="N477" s="37"/>
      <c r="R477" s="36"/>
      <c r="S477" s="38"/>
      <c r="T477" s="39"/>
      <c r="U477" s="40"/>
      <c r="W477" s="41"/>
      <c r="X477" s="42"/>
    </row>
    <row r="478" spans="13:24" ht="14.25" customHeight="1">
      <c r="M478" s="36"/>
      <c r="N478" s="37"/>
      <c r="R478" s="36"/>
      <c r="S478" s="38"/>
      <c r="T478" s="39"/>
      <c r="U478" s="40"/>
      <c r="W478" s="41"/>
      <c r="X478" s="42"/>
    </row>
    <row r="479" spans="13:24" ht="14.25" customHeight="1">
      <c r="M479" s="36"/>
      <c r="N479" s="37"/>
      <c r="R479" s="36"/>
      <c r="S479" s="38"/>
      <c r="T479" s="39"/>
      <c r="U479" s="40"/>
      <c r="W479" s="41"/>
      <c r="X479" s="42"/>
    </row>
    <row r="480" spans="13:24" ht="14.25" customHeight="1">
      <c r="M480" s="36"/>
      <c r="N480" s="37"/>
      <c r="R480" s="36"/>
      <c r="S480" s="38"/>
      <c r="T480" s="39"/>
      <c r="U480" s="40"/>
      <c r="W480" s="41"/>
      <c r="X480" s="42"/>
    </row>
    <row r="481" spans="13:24" ht="14.25" customHeight="1">
      <c r="M481" s="36"/>
      <c r="N481" s="37"/>
      <c r="R481" s="36"/>
      <c r="S481" s="38"/>
      <c r="T481" s="39"/>
      <c r="U481" s="40"/>
      <c r="W481" s="41"/>
      <c r="X481" s="42"/>
    </row>
    <row r="482" spans="13:24" ht="14.25" customHeight="1">
      <c r="M482" s="36"/>
      <c r="N482" s="37"/>
      <c r="R482" s="36"/>
      <c r="S482" s="38"/>
      <c r="T482" s="39"/>
      <c r="U482" s="40"/>
      <c r="W482" s="41"/>
      <c r="X482" s="42"/>
    </row>
    <row r="483" spans="13:24" ht="14.25" customHeight="1">
      <c r="M483" s="36"/>
      <c r="N483" s="37"/>
      <c r="R483" s="36"/>
      <c r="S483" s="38"/>
      <c r="T483" s="39"/>
      <c r="U483" s="40"/>
      <c r="W483" s="41"/>
      <c r="X483" s="42"/>
    </row>
    <row r="484" spans="13:24" ht="14.25" customHeight="1">
      <c r="M484" s="36"/>
      <c r="N484" s="37"/>
      <c r="R484" s="36"/>
      <c r="S484" s="38"/>
      <c r="T484" s="39"/>
      <c r="U484" s="40"/>
      <c r="W484" s="41"/>
      <c r="X484" s="42"/>
    </row>
    <row r="485" spans="13:24" ht="14.25" customHeight="1">
      <c r="M485" s="36"/>
      <c r="N485" s="37"/>
      <c r="R485" s="36"/>
      <c r="S485" s="38"/>
      <c r="T485" s="39"/>
      <c r="U485" s="40"/>
      <c r="W485" s="41"/>
      <c r="X485" s="42"/>
    </row>
    <row r="486" spans="13:24" ht="14.25" customHeight="1">
      <c r="M486" s="36"/>
      <c r="N486" s="37"/>
      <c r="R486" s="36"/>
      <c r="S486" s="38"/>
      <c r="T486" s="39"/>
      <c r="U486" s="40"/>
      <c r="W486" s="41"/>
      <c r="X486" s="42"/>
    </row>
    <row r="487" spans="13:24" ht="14.25" customHeight="1">
      <c r="M487" s="36"/>
      <c r="N487" s="37"/>
      <c r="R487" s="36"/>
      <c r="S487" s="38"/>
      <c r="T487" s="39"/>
      <c r="U487" s="40"/>
      <c r="W487" s="41"/>
      <c r="X487" s="42"/>
    </row>
    <row r="488" spans="13:24" ht="14.25" customHeight="1">
      <c r="M488" s="36"/>
      <c r="N488" s="37"/>
      <c r="R488" s="36"/>
      <c r="S488" s="38"/>
      <c r="T488" s="39"/>
      <c r="U488" s="40"/>
      <c r="W488" s="41"/>
      <c r="X488" s="42"/>
    </row>
    <row r="489" spans="13:24" ht="14.25" customHeight="1">
      <c r="M489" s="36"/>
      <c r="N489" s="37"/>
      <c r="R489" s="36"/>
      <c r="S489" s="38"/>
      <c r="T489" s="39"/>
      <c r="U489" s="40"/>
      <c r="W489" s="41"/>
      <c r="X489" s="42"/>
    </row>
    <row r="490" spans="13:24" ht="14.25" customHeight="1">
      <c r="M490" s="36"/>
      <c r="N490" s="37"/>
      <c r="R490" s="36"/>
      <c r="S490" s="38"/>
      <c r="T490" s="39"/>
      <c r="U490" s="40"/>
      <c r="W490" s="41"/>
      <c r="X490" s="42"/>
    </row>
    <row r="491" spans="13:24" ht="14.25" customHeight="1">
      <c r="M491" s="36"/>
      <c r="N491" s="37"/>
      <c r="R491" s="36"/>
      <c r="S491" s="38"/>
      <c r="T491" s="39"/>
      <c r="U491" s="40"/>
      <c r="W491" s="41"/>
      <c r="X491" s="42"/>
    </row>
    <row r="492" spans="13:24" ht="14.25" customHeight="1">
      <c r="M492" s="36"/>
      <c r="N492" s="37"/>
      <c r="R492" s="36"/>
      <c r="S492" s="38"/>
      <c r="T492" s="39"/>
      <c r="U492" s="40"/>
      <c r="W492" s="41"/>
      <c r="X492" s="42"/>
    </row>
    <row r="493" spans="13:24" ht="14.25" customHeight="1">
      <c r="M493" s="36"/>
      <c r="N493" s="37"/>
      <c r="R493" s="36"/>
      <c r="S493" s="38"/>
      <c r="T493" s="39"/>
      <c r="U493" s="40"/>
      <c r="W493" s="41"/>
      <c r="X493" s="42"/>
    </row>
    <row r="494" spans="13:24" ht="14.25" customHeight="1">
      <c r="M494" s="36"/>
      <c r="N494" s="37"/>
      <c r="R494" s="36"/>
      <c r="S494" s="38"/>
      <c r="T494" s="39"/>
      <c r="U494" s="40"/>
      <c r="W494" s="41"/>
      <c r="X494" s="42"/>
    </row>
    <row r="495" spans="13:24" ht="14.25" customHeight="1">
      <c r="M495" s="36"/>
      <c r="N495" s="37"/>
      <c r="R495" s="36"/>
      <c r="S495" s="38"/>
      <c r="T495" s="39"/>
      <c r="U495" s="40"/>
      <c r="W495" s="41"/>
      <c r="X495" s="42"/>
    </row>
    <row r="496" spans="13:24" ht="14.25" customHeight="1">
      <c r="M496" s="36"/>
      <c r="N496" s="37"/>
      <c r="R496" s="36"/>
      <c r="S496" s="38"/>
      <c r="T496" s="39"/>
      <c r="U496" s="40"/>
      <c r="W496" s="41"/>
      <c r="X496" s="42"/>
    </row>
    <row r="497" spans="13:24" ht="14.25" customHeight="1">
      <c r="M497" s="36"/>
      <c r="N497" s="37"/>
      <c r="R497" s="36"/>
      <c r="S497" s="38"/>
      <c r="T497" s="39"/>
      <c r="U497" s="40"/>
      <c r="W497" s="41"/>
      <c r="X497" s="42"/>
    </row>
    <row r="498" spans="13:24" ht="14.25" customHeight="1">
      <c r="M498" s="36"/>
      <c r="N498" s="37"/>
      <c r="R498" s="36"/>
      <c r="S498" s="38"/>
      <c r="T498" s="39"/>
      <c r="U498" s="40"/>
      <c r="W498" s="41"/>
      <c r="X498" s="42"/>
    </row>
    <row r="499" spans="13:24" ht="14.25" customHeight="1">
      <c r="M499" s="36"/>
      <c r="N499" s="37"/>
      <c r="R499" s="36"/>
      <c r="S499" s="38"/>
      <c r="T499" s="39"/>
      <c r="U499" s="40"/>
      <c r="W499" s="41"/>
      <c r="X499" s="42"/>
    </row>
    <row r="500" spans="13:24" ht="14.25" customHeight="1">
      <c r="M500" s="36"/>
      <c r="N500" s="37"/>
      <c r="R500" s="36"/>
      <c r="S500" s="38"/>
      <c r="T500" s="39"/>
      <c r="U500" s="40"/>
      <c r="W500" s="41"/>
      <c r="X500" s="42"/>
    </row>
    <row r="501" spans="13:24" ht="14.25" customHeight="1">
      <c r="M501" s="36"/>
      <c r="N501" s="37"/>
      <c r="R501" s="36"/>
      <c r="S501" s="38"/>
      <c r="T501" s="39"/>
      <c r="U501" s="40"/>
      <c r="W501" s="41"/>
      <c r="X501" s="42"/>
    </row>
    <row r="502" spans="13:24" ht="14.25" customHeight="1">
      <c r="M502" s="36"/>
      <c r="N502" s="37"/>
      <c r="R502" s="36"/>
      <c r="S502" s="38"/>
      <c r="T502" s="39"/>
      <c r="U502" s="40"/>
      <c r="W502" s="41"/>
      <c r="X502" s="42"/>
    </row>
    <row r="503" spans="13:24" ht="14.25" customHeight="1">
      <c r="M503" s="36"/>
      <c r="N503" s="37"/>
      <c r="R503" s="36"/>
      <c r="S503" s="38"/>
      <c r="T503" s="39"/>
      <c r="U503" s="40"/>
      <c r="W503" s="41"/>
      <c r="X503" s="42"/>
    </row>
    <row r="504" spans="13:24" ht="14.25" customHeight="1">
      <c r="M504" s="36"/>
      <c r="N504" s="37"/>
      <c r="R504" s="36"/>
      <c r="S504" s="38"/>
      <c r="T504" s="39"/>
      <c r="U504" s="40"/>
      <c r="W504" s="41"/>
      <c r="X504" s="42"/>
    </row>
    <row r="505" spans="13:24" ht="14.25" customHeight="1">
      <c r="M505" s="36"/>
      <c r="N505" s="37"/>
      <c r="R505" s="36"/>
      <c r="S505" s="38"/>
      <c r="T505" s="39"/>
      <c r="U505" s="40"/>
      <c r="W505" s="41"/>
      <c r="X505" s="42"/>
    </row>
    <row r="506" spans="13:24" ht="14.25" customHeight="1">
      <c r="M506" s="36"/>
      <c r="N506" s="37"/>
      <c r="R506" s="36"/>
      <c r="S506" s="38"/>
      <c r="T506" s="39"/>
      <c r="U506" s="40"/>
      <c r="W506" s="41"/>
      <c r="X506" s="42"/>
    </row>
    <row r="507" spans="13:24" ht="14.25" customHeight="1">
      <c r="M507" s="36"/>
      <c r="N507" s="37"/>
      <c r="R507" s="36"/>
      <c r="S507" s="38"/>
      <c r="T507" s="39"/>
      <c r="U507" s="40"/>
      <c r="W507" s="41"/>
      <c r="X507" s="42"/>
    </row>
    <row r="508" spans="13:24" ht="14.25" customHeight="1">
      <c r="M508" s="36"/>
      <c r="N508" s="37"/>
      <c r="R508" s="36"/>
      <c r="S508" s="38"/>
      <c r="T508" s="39"/>
      <c r="U508" s="40"/>
      <c r="W508" s="41"/>
      <c r="X508" s="42"/>
    </row>
    <row r="509" spans="13:24" ht="14.25" customHeight="1">
      <c r="M509" s="36"/>
      <c r="N509" s="37"/>
      <c r="R509" s="36"/>
      <c r="S509" s="38"/>
      <c r="T509" s="39"/>
      <c r="U509" s="40"/>
      <c r="W509" s="41"/>
      <c r="X509" s="42"/>
    </row>
    <row r="510" spans="13:24" ht="14.25" customHeight="1">
      <c r="M510" s="36"/>
      <c r="N510" s="37"/>
      <c r="R510" s="36"/>
      <c r="S510" s="38"/>
      <c r="T510" s="39"/>
      <c r="U510" s="40"/>
      <c r="W510" s="41"/>
      <c r="X510" s="42"/>
    </row>
    <row r="511" spans="13:24" ht="14.25" customHeight="1">
      <c r="M511" s="36"/>
      <c r="N511" s="37"/>
      <c r="R511" s="36"/>
      <c r="S511" s="38"/>
      <c r="T511" s="39"/>
      <c r="U511" s="40"/>
      <c r="W511" s="41"/>
      <c r="X511" s="42"/>
    </row>
    <row r="512" spans="13:24" ht="14.25" customHeight="1">
      <c r="M512" s="36"/>
      <c r="N512" s="37"/>
      <c r="R512" s="36"/>
      <c r="S512" s="38"/>
      <c r="T512" s="39"/>
      <c r="U512" s="40"/>
      <c r="W512" s="41"/>
      <c r="X512" s="42"/>
    </row>
    <row r="513" spans="13:24" ht="14.25" customHeight="1">
      <c r="M513" s="36"/>
      <c r="N513" s="37"/>
      <c r="R513" s="36"/>
      <c r="S513" s="38"/>
      <c r="T513" s="39"/>
      <c r="U513" s="40"/>
      <c r="W513" s="41"/>
      <c r="X513" s="42"/>
    </row>
    <row r="514" spans="13:24" ht="14.25" customHeight="1">
      <c r="M514" s="36"/>
      <c r="N514" s="37"/>
      <c r="R514" s="36"/>
      <c r="S514" s="38"/>
      <c r="T514" s="39"/>
      <c r="U514" s="40"/>
      <c r="W514" s="41"/>
      <c r="X514" s="42"/>
    </row>
    <row r="515" spans="13:24" ht="14.25" customHeight="1">
      <c r="M515" s="36"/>
      <c r="N515" s="37"/>
      <c r="R515" s="36"/>
      <c r="S515" s="38"/>
      <c r="T515" s="39"/>
      <c r="U515" s="40"/>
      <c r="W515" s="41"/>
      <c r="X515" s="42"/>
    </row>
    <row r="516" spans="13:24" ht="14.25" customHeight="1">
      <c r="M516" s="36"/>
      <c r="N516" s="37"/>
      <c r="R516" s="36"/>
      <c r="S516" s="38"/>
      <c r="T516" s="39"/>
      <c r="U516" s="40"/>
      <c r="W516" s="41"/>
      <c r="X516" s="42"/>
    </row>
    <row r="517" spans="13:24" ht="14.25" customHeight="1">
      <c r="M517" s="36"/>
      <c r="N517" s="37"/>
      <c r="R517" s="36"/>
      <c r="S517" s="38"/>
      <c r="T517" s="39"/>
      <c r="U517" s="40"/>
      <c r="W517" s="41"/>
      <c r="X517" s="42"/>
    </row>
    <row r="518" spans="13:24" ht="14.25" customHeight="1">
      <c r="M518" s="36"/>
      <c r="N518" s="37"/>
      <c r="R518" s="36"/>
      <c r="S518" s="38"/>
      <c r="T518" s="39"/>
      <c r="U518" s="40"/>
      <c r="W518" s="41"/>
      <c r="X518" s="42"/>
    </row>
    <row r="519" spans="13:24" ht="14.25" customHeight="1">
      <c r="M519" s="36"/>
      <c r="N519" s="37"/>
      <c r="R519" s="36"/>
      <c r="S519" s="38"/>
      <c r="T519" s="39"/>
      <c r="U519" s="40"/>
      <c r="W519" s="41"/>
      <c r="X519" s="42"/>
    </row>
    <row r="520" spans="13:24" ht="14.25" customHeight="1">
      <c r="M520" s="36"/>
      <c r="N520" s="37"/>
      <c r="R520" s="36"/>
      <c r="S520" s="38"/>
      <c r="T520" s="39"/>
      <c r="U520" s="40"/>
      <c r="W520" s="41"/>
      <c r="X520" s="42"/>
    </row>
    <row r="521" spans="13:24" ht="14.25" customHeight="1">
      <c r="M521" s="36"/>
      <c r="N521" s="37"/>
      <c r="R521" s="36"/>
      <c r="S521" s="38"/>
      <c r="T521" s="39"/>
      <c r="U521" s="40"/>
      <c r="W521" s="41"/>
      <c r="X521" s="42"/>
    </row>
    <row r="522" spans="13:24" ht="14.25" customHeight="1">
      <c r="M522" s="36"/>
      <c r="N522" s="37"/>
      <c r="R522" s="36"/>
      <c r="S522" s="38"/>
      <c r="T522" s="39"/>
      <c r="U522" s="40"/>
      <c r="W522" s="41"/>
      <c r="X522" s="42"/>
    </row>
    <row r="523" spans="13:24" ht="14.25" customHeight="1">
      <c r="M523" s="36"/>
      <c r="N523" s="37"/>
      <c r="R523" s="36"/>
      <c r="S523" s="38"/>
      <c r="T523" s="39"/>
      <c r="U523" s="40"/>
      <c r="W523" s="41"/>
      <c r="X523" s="42"/>
    </row>
    <row r="524" spans="13:24" ht="14.25" customHeight="1">
      <c r="M524" s="36"/>
      <c r="N524" s="37"/>
      <c r="R524" s="36"/>
      <c r="S524" s="38"/>
      <c r="T524" s="39"/>
      <c r="U524" s="40"/>
      <c r="W524" s="41"/>
      <c r="X524" s="42"/>
    </row>
    <row r="525" spans="13:24" ht="14.25" customHeight="1">
      <c r="M525" s="36"/>
      <c r="N525" s="37"/>
      <c r="R525" s="36"/>
      <c r="S525" s="38"/>
      <c r="T525" s="39"/>
      <c r="U525" s="40"/>
      <c r="W525" s="41"/>
      <c r="X525" s="42"/>
    </row>
    <row r="526" spans="13:24" ht="14.25" customHeight="1">
      <c r="M526" s="36"/>
      <c r="N526" s="37"/>
      <c r="R526" s="36"/>
      <c r="S526" s="38"/>
      <c r="T526" s="39"/>
      <c r="U526" s="40"/>
      <c r="W526" s="41"/>
      <c r="X526" s="42"/>
    </row>
    <row r="527" spans="13:24" ht="14.25" customHeight="1">
      <c r="M527" s="36"/>
      <c r="N527" s="37"/>
      <c r="R527" s="36"/>
      <c r="S527" s="38"/>
      <c r="T527" s="39"/>
      <c r="U527" s="40"/>
      <c r="W527" s="41"/>
      <c r="X527" s="42"/>
    </row>
    <row r="528" spans="13:24" ht="14.25" customHeight="1">
      <c r="M528" s="36"/>
      <c r="N528" s="37"/>
      <c r="R528" s="36"/>
      <c r="S528" s="38"/>
      <c r="T528" s="39"/>
      <c r="U528" s="40"/>
      <c r="W528" s="41"/>
      <c r="X528" s="42"/>
    </row>
    <row r="529" spans="13:24" ht="14.25" customHeight="1">
      <c r="M529" s="36"/>
      <c r="N529" s="37"/>
      <c r="R529" s="36"/>
      <c r="S529" s="38"/>
      <c r="T529" s="39"/>
      <c r="U529" s="40"/>
      <c r="W529" s="41"/>
      <c r="X529" s="42"/>
    </row>
    <row r="530" spans="13:24" ht="14.25" customHeight="1">
      <c r="M530" s="36"/>
      <c r="N530" s="37"/>
      <c r="R530" s="36"/>
      <c r="S530" s="38"/>
      <c r="T530" s="39"/>
      <c r="U530" s="40"/>
      <c r="W530" s="41"/>
      <c r="X530" s="42"/>
    </row>
    <row r="531" spans="13:24" ht="14.25" customHeight="1">
      <c r="M531" s="36"/>
      <c r="N531" s="37"/>
      <c r="R531" s="36"/>
      <c r="S531" s="38"/>
      <c r="T531" s="39"/>
      <c r="U531" s="40"/>
      <c r="W531" s="41"/>
      <c r="X531" s="42"/>
    </row>
    <row r="532" spans="13:24" ht="14.25" customHeight="1">
      <c r="M532" s="36"/>
      <c r="N532" s="37"/>
      <c r="R532" s="36"/>
      <c r="S532" s="38"/>
      <c r="T532" s="39"/>
      <c r="U532" s="40"/>
      <c r="W532" s="41"/>
      <c r="X532" s="42"/>
    </row>
    <row r="533" spans="13:24" ht="14.25" customHeight="1">
      <c r="M533" s="36"/>
      <c r="N533" s="37"/>
      <c r="R533" s="36"/>
      <c r="S533" s="38"/>
      <c r="T533" s="39"/>
      <c r="U533" s="40"/>
      <c r="W533" s="41"/>
      <c r="X533" s="42"/>
    </row>
    <row r="534" spans="13:24" ht="14.25" customHeight="1">
      <c r="M534" s="36"/>
      <c r="N534" s="37"/>
      <c r="R534" s="36"/>
      <c r="S534" s="38"/>
      <c r="T534" s="39"/>
      <c r="U534" s="40"/>
      <c r="W534" s="41"/>
      <c r="X534" s="42"/>
    </row>
    <row r="535" spans="13:24" ht="14.25" customHeight="1">
      <c r="M535" s="36"/>
      <c r="N535" s="37"/>
      <c r="R535" s="36"/>
      <c r="S535" s="38"/>
      <c r="T535" s="39"/>
      <c r="U535" s="40"/>
      <c r="W535" s="41"/>
      <c r="X535" s="42"/>
    </row>
    <row r="536" spans="13:24" ht="14.25" customHeight="1">
      <c r="M536" s="36"/>
      <c r="N536" s="37"/>
      <c r="R536" s="36"/>
      <c r="S536" s="38"/>
      <c r="T536" s="39"/>
      <c r="U536" s="40"/>
      <c r="W536" s="41"/>
      <c r="X536" s="42"/>
    </row>
    <row r="537" spans="13:24" ht="14.25" customHeight="1">
      <c r="M537" s="36"/>
      <c r="N537" s="37"/>
      <c r="R537" s="36"/>
      <c r="S537" s="38"/>
      <c r="T537" s="39"/>
      <c r="U537" s="40"/>
      <c r="W537" s="41"/>
      <c r="X537" s="42"/>
    </row>
    <row r="538" spans="13:24" ht="14.25" customHeight="1">
      <c r="M538" s="36"/>
      <c r="N538" s="37"/>
      <c r="R538" s="36"/>
      <c r="S538" s="38"/>
      <c r="T538" s="39"/>
      <c r="U538" s="40"/>
      <c r="W538" s="41"/>
      <c r="X538" s="42"/>
    </row>
    <row r="539" spans="13:24" ht="14.25" customHeight="1">
      <c r="M539" s="36"/>
      <c r="N539" s="37"/>
      <c r="R539" s="36"/>
      <c r="S539" s="38"/>
      <c r="T539" s="39"/>
      <c r="U539" s="40"/>
      <c r="W539" s="41"/>
      <c r="X539" s="42"/>
    </row>
    <row r="540" spans="13:24" ht="14.25" customHeight="1">
      <c r="M540" s="36"/>
      <c r="N540" s="37"/>
      <c r="R540" s="36"/>
      <c r="S540" s="38"/>
      <c r="T540" s="39"/>
      <c r="U540" s="40"/>
      <c r="W540" s="41"/>
      <c r="X540" s="42"/>
    </row>
    <row r="541" spans="13:24" ht="14.25" customHeight="1">
      <c r="M541" s="36"/>
      <c r="N541" s="37"/>
      <c r="R541" s="36"/>
      <c r="S541" s="38"/>
      <c r="T541" s="39"/>
      <c r="U541" s="40"/>
      <c r="W541" s="41"/>
      <c r="X541" s="42"/>
    </row>
    <row r="542" spans="13:24" ht="14.25" customHeight="1">
      <c r="M542" s="36"/>
      <c r="N542" s="37"/>
      <c r="R542" s="36"/>
      <c r="S542" s="38"/>
      <c r="T542" s="39"/>
      <c r="U542" s="40"/>
      <c r="W542" s="41"/>
      <c r="X542" s="42"/>
    </row>
    <row r="543" spans="13:24" ht="14.25" customHeight="1">
      <c r="M543" s="36"/>
      <c r="N543" s="37"/>
      <c r="R543" s="36"/>
      <c r="S543" s="38"/>
      <c r="T543" s="39"/>
      <c r="U543" s="40"/>
      <c r="W543" s="41"/>
      <c r="X543" s="42"/>
    </row>
    <row r="544" spans="13:24" ht="14.25" customHeight="1">
      <c r="M544" s="36"/>
      <c r="N544" s="37"/>
      <c r="R544" s="36"/>
      <c r="S544" s="38"/>
      <c r="T544" s="39"/>
      <c r="U544" s="40"/>
      <c r="W544" s="41"/>
      <c r="X544" s="42"/>
    </row>
    <row r="545" spans="13:24" ht="14.25" customHeight="1">
      <c r="M545" s="36"/>
      <c r="N545" s="37"/>
      <c r="R545" s="36"/>
      <c r="S545" s="38"/>
      <c r="T545" s="39"/>
      <c r="U545" s="40"/>
      <c r="W545" s="41"/>
      <c r="X545" s="42"/>
    </row>
    <row r="546" spans="13:24" ht="14.25" customHeight="1">
      <c r="M546" s="36"/>
      <c r="N546" s="37"/>
      <c r="R546" s="36"/>
      <c r="S546" s="38"/>
      <c r="T546" s="39"/>
      <c r="U546" s="40"/>
      <c r="W546" s="41"/>
      <c r="X546" s="42"/>
    </row>
    <row r="547" spans="13:24" ht="14.25" customHeight="1">
      <c r="M547" s="36"/>
      <c r="N547" s="37"/>
      <c r="R547" s="36"/>
      <c r="S547" s="38"/>
      <c r="T547" s="39"/>
      <c r="U547" s="40"/>
      <c r="W547" s="41"/>
      <c r="X547" s="42"/>
    </row>
    <row r="548" spans="13:24" ht="14.25" customHeight="1">
      <c r="M548" s="36"/>
      <c r="N548" s="37"/>
      <c r="R548" s="36"/>
      <c r="S548" s="38"/>
      <c r="T548" s="39"/>
      <c r="U548" s="40"/>
      <c r="W548" s="41"/>
      <c r="X548" s="42"/>
    </row>
    <row r="549" spans="13:24" ht="14.25" customHeight="1">
      <c r="M549" s="36"/>
      <c r="N549" s="37"/>
      <c r="R549" s="36"/>
      <c r="S549" s="38"/>
      <c r="T549" s="39"/>
      <c r="U549" s="40"/>
      <c r="W549" s="41"/>
      <c r="X549" s="42"/>
    </row>
    <row r="550" spans="13:24" ht="14.25" customHeight="1">
      <c r="M550" s="36"/>
      <c r="N550" s="37"/>
      <c r="R550" s="36"/>
      <c r="S550" s="38"/>
      <c r="T550" s="39"/>
      <c r="U550" s="40"/>
      <c r="W550" s="41"/>
      <c r="X550" s="42"/>
    </row>
    <row r="551" spans="13:24" ht="14.25" customHeight="1">
      <c r="M551" s="36"/>
      <c r="N551" s="37"/>
      <c r="R551" s="36"/>
      <c r="S551" s="38"/>
      <c r="T551" s="39"/>
      <c r="U551" s="40"/>
      <c r="W551" s="41"/>
      <c r="X551" s="42"/>
    </row>
    <row r="552" spans="13:24" ht="14.25" customHeight="1">
      <c r="M552" s="36"/>
      <c r="N552" s="37"/>
      <c r="R552" s="36"/>
      <c r="S552" s="38"/>
      <c r="T552" s="39"/>
      <c r="U552" s="40"/>
      <c r="W552" s="41"/>
      <c r="X552" s="42"/>
    </row>
    <row r="553" spans="13:24" ht="14.25" customHeight="1">
      <c r="M553" s="36"/>
      <c r="N553" s="37"/>
      <c r="R553" s="36"/>
      <c r="S553" s="38"/>
      <c r="T553" s="39"/>
      <c r="U553" s="40"/>
      <c r="W553" s="41"/>
      <c r="X553" s="42"/>
    </row>
    <row r="554" spans="13:24" ht="14.25" customHeight="1">
      <c r="M554" s="36"/>
      <c r="N554" s="37"/>
      <c r="R554" s="36"/>
      <c r="S554" s="38"/>
      <c r="T554" s="39"/>
      <c r="U554" s="40"/>
      <c r="W554" s="41"/>
      <c r="X554" s="42"/>
    </row>
    <row r="555" spans="13:24" ht="14.25" customHeight="1">
      <c r="M555" s="36"/>
      <c r="N555" s="37"/>
      <c r="R555" s="36"/>
      <c r="S555" s="38"/>
      <c r="T555" s="39"/>
      <c r="U555" s="40"/>
      <c r="W555" s="41"/>
      <c r="X555" s="42"/>
    </row>
    <row r="556" spans="13:24" ht="14.25" customHeight="1">
      <c r="M556" s="36"/>
      <c r="N556" s="37"/>
      <c r="R556" s="36"/>
      <c r="S556" s="38"/>
      <c r="T556" s="39"/>
      <c r="U556" s="40"/>
      <c r="W556" s="41"/>
      <c r="X556" s="42"/>
    </row>
    <row r="557" spans="13:24" ht="14.25" customHeight="1">
      <c r="M557" s="36"/>
      <c r="N557" s="37"/>
      <c r="R557" s="36"/>
      <c r="S557" s="38"/>
      <c r="T557" s="39"/>
      <c r="U557" s="40"/>
      <c r="W557" s="41"/>
      <c r="X557" s="42"/>
    </row>
    <row r="558" spans="13:24" ht="14.25" customHeight="1">
      <c r="M558" s="36"/>
      <c r="N558" s="37"/>
      <c r="R558" s="36"/>
      <c r="S558" s="38"/>
      <c r="T558" s="39"/>
      <c r="U558" s="40"/>
      <c r="W558" s="41"/>
      <c r="X558" s="42"/>
    </row>
    <row r="559" spans="13:24" ht="14.25" customHeight="1">
      <c r="M559" s="36"/>
      <c r="N559" s="37"/>
      <c r="R559" s="36"/>
      <c r="S559" s="38"/>
      <c r="T559" s="39"/>
      <c r="U559" s="40"/>
      <c r="W559" s="41"/>
      <c r="X559" s="42"/>
    </row>
    <row r="560" spans="13:24" ht="14.25" customHeight="1">
      <c r="M560" s="36"/>
      <c r="N560" s="37"/>
      <c r="R560" s="36"/>
      <c r="S560" s="38"/>
      <c r="T560" s="39"/>
      <c r="U560" s="40"/>
      <c r="W560" s="41"/>
      <c r="X560" s="42"/>
    </row>
    <row r="561" spans="13:24" ht="14.25" customHeight="1">
      <c r="M561" s="36"/>
      <c r="N561" s="37"/>
      <c r="R561" s="36"/>
      <c r="S561" s="38"/>
      <c r="T561" s="39"/>
      <c r="U561" s="40"/>
      <c r="W561" s="41"/>
      <c r="X561" s="42"/>
    </row>
    <row r="562" spans="13:24" ht="14.25" customHeight="1">
      <c r="M562" s="36"/>
      <c r="N562" s="37"/>
      <c r="R562" s="36"/>
      <c r="S562" s="38"/>
      <c r="T562" s="39"/>
      <c r="U562" s="40"/>
      <c r="W562" s="41"/>
      <c r="X562" s="42"/>
    </row>
    <row r="563" spans="13:24" ht="14.25" customHeight="1">
      <c r="M563" s="36"/>
      <c r="N563" s="37"/>
      <c r="R563" s="36"/>
      <c r="S563" s="38"/>
      <c r="T563" s="39"/>
      <c r="U563" s="40"/>
      <c r="W563" s="41"/>
      <c r="X563" s="42"/>
    </row>
    <row r="564" spans="13:24" ht="14.25" customHeight="1">
      <c r="M564" s="36"/>
      <c r="N564" s="37"/>
      <c r="R564" s="36"/>
      <c r="S564" s="38"/>
      <c r="T564" s="39"/>
      <c r="U564" s="40"/>
      <c r="W564" s="41"/>
      <c r="X564" s="42"/>
    </row>
    <row r="565" spans="13:24" ht="14.25" customHeight="1">
      <c r="M565" s="36"/>
      <c r="N565" s="37"/>
      <c r="R565" s="36"/>
      <c r="S565" s="38"/>
      <c r="T565" s="39"/>
      <c r="U565" s="40"/>
      <c r="W565" s="41"/>
      <c r="X565" s="42"/>
    </row>
    <row r="566" spans="13:24" ht="14.25" customHeight="1">
      <c r="M566" s="36"/>
      <c r="N566" s="37"/>
      <c r="R566" s="36"/>
      <c r="S566" s="38"/>
      <c r="T566" s="39"/>
      <c r="U566" s="40"/>
      <c r="W566" s="41"/>
      <c r="X566" s="42"/>
    </row>
    <row r="567" spans="13:24" ht="14.25" customHeight="1">
      <c r="M567" s="36"/>
      <c r="N567" s="37"/>
      <c r="R567" s="36"/>
      <c r="S567" s="38"/>
      <c r="T567" s="39"/>
      <c r="U567" s="40"/>
      <c r="W567" s="41"/>
      <c r="X567" s="42"/>
    </row>
    <row r="568" spans="13:24" ht="14.25" customHeight="1">
      <c r="M568" s="36"/>
      <c r="N568" s="37"/>
      <c r="R568" s="36"/>
      <c r="S568" s="38"/>
      <c r="T568" s="39"/>
      <c r="U568" s="40"/>
      <c r="W568" s="41"/>
      <c r="X568" s="42"/>
    </row>
    <row r="569" spans="13:24" ht="14.25" customHeight="1">
      <c r="M569" s="36"/>
      <c r="N569" s="37"/>
      <c r="R569" s="36"/>
      <c r="S569" s="38"/>
      <c r="T569" s="39"/>
      <c r="U569" s="40"/>
      <c r="W569" s="41"/>
      <c r="X569" s="42"/>
    </row>
    <row r="570" spans="13:24" ht="14.25" customHeight="1">
      <c r="M570" s="36"/>
      <c r="N570" s="37"/>
      <c r="R570" s="36"/>
      <c r="S570" s="38"/>
      <c r="T570" s="39"/>
      <c r="U570" s="40"/>
      <c r="W570" s="41"/>
      <c r="X570" s="42"/>
    </row>
    <row r="571" spans="13:24" ht="14.25" customHeight="1">
      <c r="M571" s="36"/>
      <c r="N571" s="37"/>
      <c r="R571" s="36"/>
      <c r="S571" s="38"/>
      <c r="T571" s="39"/>
      <c r="U571" s="40"/>
      <c r="W571" s="41"/>
      <c r="X571" s="42"/>
    </row>
    <row r="572" spans="13:24" ht="14.25" customHeight="1">
      <c r="M572" s="36"/>
      <c r="N572" s="37"/>
      <c r="R572" s="36"/>
      <c r="S572" s="38"/>
      <c r="T572" s="39"/>
      <c r="U572" s="40"/>
      <c r="W572" s="41"/>
      <c r="X572" s="42"/>
    </row>
    <row r="573" spans="13:24" ht="14.25" customHeight="1">
      <c r="M573" s="36"/>
      <c r="N573" s="37"/>
      <c r="R573" s="36"/>
      <c r="S573" s="38"/>
      <c r="T573" s="39"/>
      <c r="U573" s="40"/>
      <c r="W573" s="41"/>
      <c r="X573" s="42"/>
    </row>
    <row r="574" spans="13:24" ht="14.25" customHeight="1">
      <c r="M574" s="36"/>
      <c r="N574" s="37"/>
      <c r="R574" s="36"/>
      <c r="S574" s="38"/>
      <c r="T574" s="39"/>
      <c r="U574" s="40"/>
      <c r="W574" s="41"/>
      <c r="X574" s="42"/>
    </row>
    <row r="575" spans="13:24" ht="14.25" customHeight="1">
      <c r="M575" s="36"/>
      <c r="N575" s="37"/>
      <c r="R575" s="36"/>
      <c r="S575" s="38"/>
      <c r="T575" s="39"/>
      <c r="U575" s="40"/>
      <c r="W575" s="41"/>
      <c r="X575" s="42"/>
    </row>
    <row r="576" spans="13:24" ht="14.25" customHeight="1">
      <c r="M576" s="36"/>
      <c r="N576" s="37"/>
      <c r="R576" s="36"/>
      <c r="S576" s="38"/>
      <c r="T576" s="39"/>
      <c r="U576" s="40"/>
      <c r="W576" s="41"/>
      <c r="X576" s="42"/>
    </row>
    <row r="577" spans="13:24" ht="14.25" customHeight="1">
      <c r="M577" s="36"/>
      <c r="N577" s="37"/>
      <c r="R577" s="36"/>
      <c r="S577" s="38"/>
      <c r="T577" s="39"/>
      <c r="U577" s="40"/>
      <c r="W577" s="41"/>
      <c r="X577" s="42"/>
    </row>
    <row r="578" spans="13:24" ht="14.25" customHeight="1">
      <c r="M578" s="36"/>
      <c r="N578" s="37"/>
      <c r="R578" s="36"/>
      <c r="S578" s="38"/>
      <c r="T578" s="39"/>
      <c r="U578" s="40"/>
      <c r="W578" s="41"/>
      <c r="X578" s="42"/>
    </row>
    <row r="579" spans="13:24" ht="14.25" customHeight="1">
      <c r="M579" s="36"/>
      <c r="N579" s="37"/>
      <c r="R579" s="36"/>
      <c r="S579" s="38"/>
      <c r="T579" s="39"/>
      <c r="U579" s="40"/>
      <c r="W579" s="41"/>
      <c r="X579" s="42"/>
    </row>
    <row r="580" spans="13:24" ht="14.25" customHeight="1">
      <c r="M580" s="36"/>
      <c r="N580" s="37"/>
      <c r="R580" s="36"/>
      <c r="S580" s="38"/>
      <c r="T580" s="39"/>
      <c r="U580" s="40"/>
      <c r="W580" s="41"/>
      <c r="X580" s="42"/>
    </row>
    <row r="581" spans="13:24" ht="14.25" customHeight="1">
      <c r="M581" s="36"/>
      <c r="N581" s="37"/>
      <c r="R581" s="36"/>
      <c r="S581" s="38"/>
      <c r="T581" s="39"/>
      <c r="U581" s="40"/>
      <c r="W581" s="41"/>
      <c r="X581" s="42"/>
    </row>
    <row r="582" spans="13:24" ht="14.25" customHeight="1">
      <c r="M582" s="36"/>
      <c r="N582" s="37"/>
      <c r="R582" s="36"/>
      <c r="S582" s="38"/>
      <c r="T582" s="39"/>
      <c r="U582" s="40"/>
      <c r="W582" s="41"/>
      <c r="X582" s="42"/>
    </row>
    <row r="583" spans="13:24" ht="14.25" customHeight="1">
      <c r="M583" s="36"/>
      <c r="N583" s="37"/>
      <c r="R583" s="36"/>
      <c r="S583" s="38"/>
      <c r="T583" s="39"/>
      <c r="U583" s="40"/>
      <c r="W583" s="41"/>
      <c r="X583" s="42"/>
    </row>
    <row r="584" spans="13:24" ht="14.25" customHeight="1">
      <c r="M584" s="36"/>
      <c r="N584" s="37"/>
      <c r="R584" s="36"/>
      <c r="S584" s="38"/>
      <c r="T584" s="39"/>
      <c r="U584" s="40"/>
      <c r="W584" s="41"/>
      <c r="X584" s="42"/>
    </row>
    <row r="585" spans="13:24" ht="14.25" customHeight="1">
      <c r="M585" s="36"/>
      <c r="N585" s="37"/>
      <c r="R585" s="36"/>
      <c r="S585" s="38"/>
      <c r="T585" s="39"/>
      <c r="U585" s="40"/>
      <c r="W585" s="41"/>
      <c r="X585" s="42"/>
    </row>
    <row r="586" spans="13:24" ht="14.25" customHeight="1">
      <c r="M586" s="36"/>
      <c r="N586" s="37"/>
      <c r="R586" s="36"/>
      <c r="S586" s="38"/>
      <c r="T586" s="39"/>
      <c r="U586" s="40"/>
      <c r="W586" s="41"/>
      <c r="X586" s="42"/>
    </row>
    <row r="587" spans="13:24" ht="14.25" customHeight="1">
      <c r="M587" s="36"/>
      <c r="N587" s="37"/>
      <c r="R587" s="36"/>
      <c r="S587" s="38"/>
      <c r="T587" s="39"/>
      <c r="U587" s="40"/>
      <c r="W587" s="41"/>
      <c r="X587" s="42"/>
    </row>
    <row r="588" spans="13:24" ht="14.25" customHeight="1">
      <c r="M588" s="36"/>
      <c r="N588" s="37"/>
      <c r="R588" s="36"/>
      <c r="S588" s="38"/>
      <c r="T588" s="39"/>
      <c r="U588" s="40"/>
      <c r="W588" s="41"/>
      <c r="X588" s="42"/>
    </row>
    <row r="589" spans="13:24" ht="14.25" customHeight="1">
      <c r="M589" s="36"/>
      <c r="N589" s="37"/>
      <c r="R589" s="36"/>
      <c r="S589" s="38"/>
      <c r="T589" s="39"/>
      <c r="U589" s="40"/>
      <c r="W589" s="41"/>
      <c r="X589" s="42"/>
    </row>
    <row r="590" spans="13:24" ht="14.25" customHeight="1">
      <c r="M590" s="36"/>
      <c r="N590" s="37"/>
      <c r="R590" s="36"/>
      <c r="S590" s="38"/>
      <c r="T590" s="39"/>
      <c r="U590" s="40"/>
      <c r="W590" s="41"/>
      <c r="X590" s="42"/>
    </row>
    <row r="591" spans="13:24" ht="14.25" customHeight="1">
      <c r="M591" s="36"/>
      <c r="N591" s="37"/>
      <c r="R591" s="36"/>
      <c r="S591" s="38"/>
      <c r="T591" s="39"/>
      <c r="U591" s="40"/>
      <c r="W591" s="41"/>
      <c r="X591" s="42"/>
    </row>
    <row r="592" spans="13:24" ht="14.25" customHeight="1">
      <c r="M592" s="36"/>
      <c r="N592" s="37"/>
      <c r="R592" s="36"/>
      <c r="S592" s="38"/>
      <c r="T592" s="39"/>
      <c r="U592" s="40"/>
      <c r="W592" s="41"/>
      <c r="X592" s="42"/>
    </row>
    <row r="593" spans="13:24" ht="14.25" customHeight="1">
      <c r="M593" s="36"/>
      <c r="N593" s="37"/>
      <c r="R593" s="36"/>
      <c r="S593" s="38"/>
      <c r="T593" s="39"/>
      <c r="U593" s="40"/>
      <c r="W593" s="41"/>
      <c r="X593" s="42"/>
    </row>
    <row r="594" spans="13:24" ht="14.25" customHeight="1">
      <c r="M594" s="36"/>
      <c r="N594" s="37"/>
      <c r="R594" s="36"/>
      <c r="S594" s="38"/>
      <c r="T594" s="39"/>
      <c r="U594" s="40"/>
      <c r="W594" s="41"/>
      <c r="X594" s="42"/>
    </row>
    <row r="595" spans="13:24" ht="14.25" customHeight="1">
      <c r="M595" s="36"/>
      <c r="N595" s="37"/>
      <c r="R595" s="36"/>
      <c r="S595" s="38"/>
      <c r="T595" s="39"/>
      <c r="U595" s="40"/>
      <c r="W595" s="41"/>
      <c r="X595" s="42"/>
    </row>
    <row r="596" spans="13:24" ht="14.25" customHeight="1">
      <c r="M596" s="36"/>
      <c r="N596" s="37"/>
      <c r="R596" s="36"/>
      <c r="S596" s="38"/>
      <c r="T596" s="39"/>
      <c r="U596" s="40"/>
      <c r="W596" s="41"/>
      <c r="X596" s="42"/>
    </row>
    <row r="597" spans="13:24" ht="14.25" customHeight="1">
      <c r="M597" s="36"/>
      <c r="N597" s="37"/>
      <c r="R597" s="36"/>
      <c r="S597" s="38"/>
      <c r="T597" s="39"/>
      <c r="U597" s="40"/>
      <c r="W597" s="41"/>
      <c r="X597" s="42"/>
    </row>
    <row r="598" spans="13:24" ht="14.25" customHeight="1">
      <c r="M598" s="36"/>
      <c r="N598" s="37"/>
      <c r="R598" s="36"/>
      <c r="S598" s="38"/>
      <c r="T598" s="39"/>
      <c r="U598" s="40"/>
      <c r="W598" s="41"/>
      <c r="X598" s="42"/>
    </row>
    <row r="599" spans="13:24" ht="14.25" customHeight="1">
      <c r="M599" s="36"/>
      <c r="N599" s="37"/>
      <c r="R599" s="36"/>
      <c r="S599" s="38"/>
      <c r="T599" s="39"/>
      <c r="U599" s="40"/>
      <c r="W599" s="41"/>
      <c r="X599" s="42"/>
    </row>
    <row r="600" spans="13:24" ht="14.25" customHeight="1">
      <c r="M600" s="36"/>
      <c r="N600" s="37"/>
      <c r="R600" s="36"/>
      <c r="S600" s="38"/>
      <c r="T600" s="39"/>
      <c r="U600" s="40"/>
      <c r="W600" s="41"/>
      <c r="X600" s="42"/>
    </row>
    <row r="601" spans="13:24" ht="14.25" customHeight="1">
      <c r="M601" s="36"/>
      <c r="N601" s="37"/>
      <c r="R601" s="36"/>
      <c r="S601" s="38"/>
      <c r="T601" s="39"/>
      <c r="U601" s="40"/>
      <c r="W601" s="41"/>
      <c r="X601" s="42"/>
    </row>
    <row r="602" spans="13:24" ht="14.25" customHeight="1">
      <c r="M602" s="36"/>
      <c r="N602" s="37"/>
      <c r="R602" s="36"/>
      <c r="S602" s="38"/>
      <c r="T602" s="39"/>
      <c r="U602" s="40"/>
      <c r="W602" s="41"/>
      <c r="X602" s="42"/>
    </row>
    <row r="603" spans="13:24" ht="14.25" customHeight="1">
      <c r="M603" s="36"/>
      <c r="N603" s="37"/>
      <c r="R603" s="36"/>
      <c r="S603" s="38"/>
      <c r="T603" s="39"/>
      <c r="U603" s="40"/>
      <c r="W603" s="41"/>
      <c r="X603" s="42"/>
    </row>
    <row r="604" spans="13:24" ht="14.25" customHeight="1">
      <c r="M604" s="36"/>
      <c r="N604" s="37"/>
      <c r="R604" s="36"/>
      <c r="S604" s="38"/>
      <c r="T604" s="39"/>
      <c r="U604" s="40"/>
      <c r="W604" s="41"/>
      <c r="X604" s="42"/>
    </row>
    <row r="605" spans="13:24" ht="14.25" customHeight="1">
      <c r="M605" s="36"/>
      <c r="N605" s="37"/>
      <c r="R605" s="36"/>
      <c r="S605" s="38"/>
      <c r="T605" s="39"/>
      <c r="U605" s="40"/>
      <c r="W605" s="41"/>
      <c r="X605" s="42"/>
    </row>
    <row r="606" spans="13:24" ht="14.25" customHeight="1">
      <c r="M606" s="36"/>
      <c r="N606" s="37"/>
      <c r="R606" s="36"/>
      <c r="S606" s="38"/>
      <c r="T606" s="39"/>
      <c r="U606" s="40"/>
      <c r="W606" s="41"/>
      <c r="X606" s="42"/>
    </row>
    <row r="607" spans="13:24" ht="14.25" customHeight="1">
      <c r="M607" s="36"/>
      <c r="N607" s="37"/>
      <c r="R607" s="36"/>
      <c r="S607" s="38"/>
      <c r="T607" s="39"/>
      <c r="U607" s="40"/>
      <c r="W607" s="41"/>
      <c r="X607" s="42"/>
    </row>
    <row r="608" spans="13:24" ht="14.25" customHeight="1">
      <c r="M608" s="36"/>
      <c r="N608" s="37"/>
      <c r="R608" s="36"/>
      <c r="S608" s="38"/>
      <c r="T608" s="39"/>
      <c r="U608" s="40"/>
      <c r="W608" s="41"/>
      <c r="X608" s="42"/>
    </row>
    <row r="609" spans="13:24" ht="14.25" customHeight="1">
      <c r="M609" s="36"/>
      <c r="N609" s="37"/>
      <c r="R609" s="36"/>
      <c r="S609" s="38"/>
      <c r="T609" s="39"/>
      <c r="U609" s="40"/>
      <c r="W609" s="41"/>
      <c r="X609" s="42"/>
    </row>
    <row r="610" spans="13:24" ht="14.25" customHeight="1">
      <c r="M610" s="36"/>
      <c r="N610" s="37"/>
      <c r="R610" s="36"/>
      <c r="S610" s="38"/>
      <c r="T610" s="39"/>
      <c r="U610" s="40"/>
      <c r="W610" s="41"/>
      <c r="X610" s="42"/>
    </row>
    <row r="611" spans="13:24" ht="14.25" customHeight="1">
      <c r="M611" s="36"/>
      <c r="N611" s="37"/>
      <c r="R611" s="36"/>
      <c r="S611" s="38"/>
      <c r="T611" s="39"/>
      <c r="U611" s="40"/>
      <c r="W611" s="41"/>
      <c r="X611" s="42"/>
    </row>
    <row r="612" spans="13:24" ht="14.25" customHeight="1">
      <c r="M612" s="36"/>
      <c r="N612" s="37"/>
      <c r="R612" s="36"/>
      <c r="S612" s="38"/>
      <c r="T612" s="39"/>
      <c r="U612" s="40"/>
      <c r="W612" s="41"/>
      <c r="X612" s="42"/>
    </row>
    <row r="613" spans="13:24" ht="14.25" customHeight="1">
      <c r="M613" s="36"/>
      <c r="N613" s="37"/>
      <c r="R613" s="36"/>
      <c r="S613" s="38"/>
      <c r="T613" s="39"/>
      <c r="U613" s="40"/>
      <c r="W613" s="41"/>
      <c r="X613" s="42"/>
    </row>
    <row r="614" spans="13:24" ht="14.25" customHeight="1">
      <c r="M614" s="36"/>
      <c r="N614" s="37"/>
      <c r="R614" s="36"/>
      <c r="S614" s="38"/>
      <c r="T614" s="39"/>
      <c r="U614" s="40"/>
      <c r="W614" s="41"/>
      <c r="X614" s="42"/>
    </row>
    <row r="615" spans="13:24" ht="14.25" customHeight="1">
      <c r="M615" s="36"/>
      <c r="N615" s="37"/>
      <c r="R615" s="36"/>
      <c r="S615" s="38"/>
      <c r="T615" s="39"/>
      <c r="U615" s="40"/>
      <c r="W615" s="41"/>
      <c r="X615" s="42"/>
    </row>
    <row r="616" spans="13:24" ht="14.25" customHeight="1">
      <c r="M616" s="36"/>
      <c r="N616" s="37"/>
      <c r="R616" s="36"/>
      <c r="S616" s="38"/>
      <c r="T616" s="39"/>
      <c r="U616" s="40"/>
      <c r="W616" s="41"/>
      <c r="X616" s="42"/>
    </row>
    <row r="617" spans="13:24" ht="14.25" customHeight="1">
      <c r="M617" s="36"/>
      <c r="N617" s="37"/>
      <c r="R617" s="36"/>
      <c r="S617" s="38"/>
      <c r="T617" s="39"/>
      <c r="U617" s="40"/>
      <c r="W617" s="41"/>
      <c r="X617" s="42"/>
    </row>
    <row r="618" spans="13:24" ht="14.25" customHeight="1">
      <c r="M618" s="36"/>
      <c r="N618" s="37"/>
      <c r="R618" s="36"/>
      <c r="S618" s="38"/>
      <c r="T618" s="39"/>
      <c r="U618" s="40"/>
      <c r="W618" s="41"/>
      <c r="X618" s="42"/>
    </row>
    <row r="619" spans="13:24" ht="14.25" customHeight="1">
      <c r="M619" s="36"/>
      <c r="N619" s="37"/>
      <c r="R619" s="36"/>
      <c r="S619" s="38"/>
      <c r="T619" s="39"/>
      <c r="U619" s="40"/>
      <c r="W619" s="41"/>
      <c r="X619" s="42"/>
    </row>
    <row r="620" spans="13:24" ht="14.25" customHeight="1">
      <c r="M620" s="36"/>
      <c r="N620" s="37"/>
      <c r="R620" s="36"/>
      <c r="S620" s="38"/>
      <c r="T620" s="39"/>
      <c r="U620" s="40"/>
      <c r="W620" s="41"/>
      <c r="X620" s="42"/>
    </row>
    <row r="621" spans="13:24" ht="14.25" customHeight="1">
      <c r="M621" s="36"/>
      <c r="N621" s="37"/>
      <c r="R621" s="36"/>
      <c r="S621" s="38"/>
      <c r="T621" s="39"/>
      <c r="U621" s="40"/>
      <c r="W621" s="41"/>
      <c r="X621" s="42"/>
    </row>
    <row r="622" spans="13:24" ht="14.25" customHeight="1">
      <c r="M622" s="36"/>
      <c r="N622" s="37"/>
      <c r="R622" s="36"/>
      <c r="S622" s="38"/>
      <c r="T622" s="39"/>
      <c r="U622" s="40"/>
      <c r="W622" s="41"/>
      <c r="X622" s="42"/>
    </row>
    <row r="623" spans="13:24" ht="14.25" customHeight="1">
      <c r="M623" s="36"/>
      <c r="N623" s="37"/>
      <c r="R623" s="36"/>
      <c r="S623" s="38"/>
      <c r="T623" s="39"/>
      <c r="U623" s="40"/>
      <c r="W623" s="41"/>
      <c r="X623" s="42"/>
    </row>
    <row r="624" spans="13:24" ht="14.25" customHeight="1">
      <c r="M624" s="36"/>
      <c r="N624" s="37"/>
      <c r="R624" s="36"/>
      <c r="S624" s="38"/>
      <c r="T624" s="39"/>
      <c r="U624" s="40"/>
      <c r="W624" s="41"/>
      <c r="X624" s="42"/>
    </row>
    <row r="625" spans="13:24" ht="14.25" customHeight="1">
      <c r="M625" s="36"/>
      <c r="N625" s="37"/>
      <c r="R625" s="36"/>
      <c r="S625" s="38"/>
      <c r="T625" s="39"/>
      <c r="U625" s="40"/>
      <c r="W625" s="41"/>
      <c r="X625" s="42"/>
    </row>
    <row r="626" spans="13:24" ht="14.25" customHeight="1">
      <c r="M626" s="36"/>
      <c r="N626" s="37"/>
      <c r="R626" s="36"/>
      <c r="S626" s="38"/>
      <c r="T626" s="39"/>
      <c r="U626" s="40"/>
      <c r="W626" s="41"/>
      <c r="X626" s="42"/>
    </row>
    <row r="627" spans="13:24" ht="14.25" customHeight="1">
      <c r="M627" s="36"/>
      <c r="N627" s="37"/>
      <c r="R627" s="36"/>
      <c r="S627" s="38"/>
      <c r="T627" s="39"/>
      <c r="U627" s="40"/>
      <c r="W627" s="41"/>
      <c r="X627" s="42"/>
    </row>
    <row r="628" spans="13:24" ht="14.25" customHeight="1">
      <c r="M628" s="36"/>
      <c r="N628" s="37"/>
      <c r="R628" s="36"/>
      <c r="S628" s="38"/>
      <c r="T628" s="39"/>
      <c r="U628" s="40"/>
      <c r="W628" s="41"/>
      <c r="X628" s="42"/>
    </row>
    <row r="629" spans="13:24" ht="14.25" customHeight="1">
      <c r="M629" s="36"/>
      <c r="N629" s="37"/>
      <c r="R629" s="36"/>
      <c r="S629" s="38"/>
      <c r="T629" s="39"/>
      <c r="U629" s="40"/>
      <c r="W629" s="41"/>
      <c r="X629" s="42"/>
    </row>
    <row r="630" spans="13:24" ht="14.25" customHeight="1">
      <c r="M630" s="36"/>
      <c r="N630" s="37"/>
      <c r="R630" s="36"/>
      <c r="S630" s="38"/>
      <c r="T630" s="39"/>
      <c r="U630" s="40"/>
      <c r="W630" s="41"/>
      <c r="X630" s="42"/>
    </row>
    <row r="631" spans="13:24" ht="14.25" customHeight="1">
      <c r="M631" s="36"/>
      <c r="N631" s="37"/>
      <c r="R631" s="36"/>
      <c r="S631" s="38"/>
      <c r="T631" s="39"/>
      <c r="U631" s="40"/>
      <c r="W631" s="41"/>
      <c r="X631" s="42"/>
    </row>
    <row r="632" spans="13:24" ht="14.25" customHeight="1">
      <c r="M632" s="36"/>
      <c r="N632" s="37"/>
      <c r="R632" s="36"/>
      <c r="S632" s="38"/>
      <c r="T632" s="39"/>
      <c r="U632" s="40"/>
      <c r="W632" s="41"/>
      <c r="X632" s="42"/>
    </row>
    <row r="633" spans="13:24" ht="14.25" customHeight="1">
      <c r="M633" s="36"/>
      <c r="N633" s="37"/>
      <c r="R633" s="36"/>
      <c r="S633" s="38"/>
      <c r="T633" s="39"/>
      <c r="U633" s="40"/>
      <c r="W633" s="41"/>
      <c r="X633" s="42"/>
    </row>
    <row r="634" spans="13:24" ht="14.25" customHeight="1">
      <c r="M634" s="36"/>
      <c r="N634" s="37"/>
      <c r="R634" s="36"/>
      <c r="S634" s="38"/>
      <c r="T634" s="39"/>
      <c r="U634" s="40"/>
      <c r="W634" s="41"/>
      <c r="X634" s="42"/>
    </row>
    <row r="635" spans="13:24" ht="14.25" customHeight="1">
      <c r="M635" s="36"/>
      <c r="N635" s="37"/>
      <c r="R635" s="36"/>
      <c r="S635" s="38"/>
      <c r="T635" s="39"/>
      <c r="U635" s="40"/>
      <c r="W635" s="41"/>
      <c r="X635" s="42"/>
    </row>
    <row r="636" spans="13:24" ht="14.25" customHeight="1">
      <c r="M636" s="36"/>
      <c r="N636" s="37"/>
      <c r="R636" s="36"/>
      <c r="S636" s="38"/>
      <c r="T636" s="39"/>
      <c r="U636" s="40"/>
      <c r="W636" s="41"/>
      <c r="X636" s="42"/>
    </row>
    <row r="637" spans="13:24" ht="14.25" customHeight="1">
      <c r="M637" s="36"/>
      <c r="N637" s="37"/>
      <c r="R637" s="36"/>
      <c r="S637" s="38"/>
      <c r="T637" s="39"/>
      <c r="U637" s="40"/>
      <c r="W637" s="41"/>
      <c r="X637" s="42"/>
    </row>
    <row r="638" spans="13:24" ht="14.25" customHeight="1">
      <c r="M638" s="36"/>
      <c r="N638" s="37"/>
      <c r="R638" s="36"/>
      <c r="S638" s="38"/>
      <c r="T638" s="39"/>
      <c r="U638" s="40"/>
      <c r="W638" s="41"/>
      <c r="X638" s="42"/>
    </row>
    <row r="639" spans="13:24" ht="14.25" customHeight="1">
      <c r="M639" s="36"/>
      <c r="N639" s="37"/>
      <c r="R639" s="36"/>
      <c r="S639" s="38"/>
      <c r="T639" s="39"/>
      <c r="U639" s="40"/>
      <c r="W639" s="41"/>
      <c r="X639" s="42"/>
    </row>
    <row r="640" spans="13:24" ht="14.25" customHeight="1">
      <c r="M640" s="36"/>
      <c r="N640" s="37"/>
      <c r="R640" s="36"/>
      <c r="S640" s="38"/>
      <c r="T640" s="39"/>
      <c r="U640" s="40"/>
      <c r="W640" s="41"/>
      <c r="X640" s="42"/>
    </row>
    <row r="641" spans="13:24" ht="14.25" customHeight="1">
      <c r="M641" s="36"/>
      <c r="N641" s="37"/>
      <c r="R641" s="36"/>
      <c r="S641" s="38"/>
      <c r="T641" s="39"/>
      <c r="U641" s="40"/>
      <c r="W641" s="41"/>
      <c r="X641" s="42"/>
    </row>
    <row r="642" spans="13:24" ht="14.25" customHeight="1">
      <c r="M642" s="36"/>
      <c r="N642" s="37"/>
      <c r="R642" s="36"/>
      <c r="S642" s="38"/>
      <c r="T642" s="39"/>
      <c r="U642" s="40"/>
      <c r="W642" s="41"/>
      <c r="X642" s="42"/>
    </row>
    <row r="643" spans="13:24" ht="14.25" customHeight="1">
      <c r="M643" s="36"/>
      <c r="N643" s="37"/>
      <c r="R643" s="36"/>
      <c r="S643" s="38"/>
      <c r="T643" s="39"/>
      <c r="U643" s="40"/>
      <c r="W643" s="41"/>
      <c r="X643" s="42"/>
    </row>
    <row r="644" spans="13:24" ht="14.25" customHeight="1">
      <c r="M644" s="36"/>
      <c r="N644" s="37"/>
      <c r="R644" s="36"/>
      <c r="S644" s="38"/>
      <c r="T644" s="39"/>
      <c r="U644" s="40"/>
      <c r="W644" s="41"/>
      <c r="X644" s="42"/>
    </row>
    <row r="645" spans="13:24" ht="14.25" customHeight="1">
      <c r="M645" s="36"/>
      <c r="N645" s="37"/>
      <c r="R645" s="36"/>
      <c r="S645" s="38"/>
      <c r="T645" s="39"/>
      <c r="U645" s="40"/>
      <c r="W645" s="41"/>
      <c r="X645" s="42"/>
    </row>
    <row r="646" spans="13:24" ht="14.25" customHeight="1">
      <c r="M646" s="36"/>
      <c r="N646" s="37"/>
      <c r="R646" s="36"/>
      <c r="S646" s="38"/>
      <c r="T646" s="39"/>
      <c r="U646" s="40"/>
      <c r="W646" s="41"/>
      <c r="X646" s="42"/>
    </row>
    <row r="647" spans="13:24" ht="14.25" customHeight="1">
      <c r="M647" s="36"/>
      <c r="N647" s="37"/>
      <c r="R647" s="36"/>
      <c r="S647" s="38"/>
      <c r="T647" s="39"/>
      <c r="U647" s="40"/>
      <c r="W647" s="41"/>
      <c r="X647" s="42"/>
    </row>
    <row r="648" spans="13:24" ht="14.25" customHeight="1">
      <c r="M648" s="36"/>
      <c r="N648" s="37"/>
      <c r="R648" s="36"/>
      <c r="S648" s="38"/>
      <c r="T648" s="39"/>
      <c r="U648" s="40"/>
      <c r="W648" s="41"/>
      <c r="X648" s="42"/>
    </row>
    <row r="649" spans="13:24" ht="14.25" customHeight="1">
      <c r="M649" s="36"/>
      <c r="N649" s="37"/>
      <c r="R649" s="36"/>
      <c r="S649" s="38"/>
      <c r="T649" s="39"/>
      <c r="U649" s="40"/>
      <c r="W649" s="41"/>
      <c r="X649" s="42"/>
    </row>
    <row r="650" spans="13:24" ht="14.25" customHeight="1">
      <c r="M650" s="36"/>
      <c r="N650" s="37"/>
      <c r="R650" s="36"/>
      <c r="S650" s="38"/>
      <c r="T650" s="39"/>
      <c r="U650" s="40"/>
      <c r="W650" s="41"/>
      <c r="X650" s="42"/>
    </row>
    <row r="651" spans="13:24" ht="14.25" customHeight="1">
      <c r="M651" s="36"/>
      <c r="N651" s="37"/>
      <c r="R651" s="36"/>
      <c r="S651" s="38"/>
      <c r="T651" s="39"/>
      <c r="U651" s="40"/>
      <c r="W651" s="41"/>
      <c r="X651" s="42"/>
    </row>
    <row r="652" spans="13:24" ht="14.25" customHeight="1">
      <c r="M652" s="36"/>
      <c r="N652" s="37"/>
      <c r="R652" s="36"/>
      <c r="S652" s="38"/>
      <c r="T652" s="39"/>
      <c r="U652" s="40"/>
      <c r="W652" s="41"/>
      <c r="X652" s="42"/>
    </row>
    <row r="653" spans="13:24" ht="14.25" customHeight="1">
      <c r="M653" s="36"/>
      <c r="N653" s="37"/>
      <c r="R653" s="36"/>
      <c r="S653" s="38"/>
      <c r="T653" s="39"/>
      <c r="U653" s="40"/>
      <c r="W653" s="41"/>
      <c r="X653" s="42"/>
    </row>
    <row r="654" spans="13:24" ht="14.25" customHeight="1">
      <c r="M654" s="36"/>
      <c r="N654" s="37"/>
      <c r="R654" s="36"/>
      <c r="S654" s="38"/>
      <c r="T654" s="39"/>
      <c r="U654" s="40"/>
      <c r="W654" s="41"/>
      <c r="X654" s="42"/>
    </row>
    <row r="655" spans="13:24" ht="14.25" customHeight="1">
      <c r="M655" s="36"/>
      <c r="N655" s="37"/>
      <c r="R655" s="36"/>
      <c r="S655" s="38"/>
      <c r="T655" s="39"/>
      <c r="U655" s="40"/>
      <c r="W655" s="41"/>
      <c r="X655" s="42"/>
    </row>
    <row r="656" spans="13:24" ht="14.25" customHeight="1">
      <c r="M656" s="36"/>
      <c r="N656" s="37"/>
      <c r="R656" s="36"/>
      <c r="S656" s="38"/>
      <c r="T656" s="39"/>
      <c r="U656" s="40"/>
      <c r="W656" s="41"/>
      <c r="X656" s="42"/>
    </row>
    <row r="657" spans="13:24" ht="14.25" customHeight="1">
      <c r="M657" s="36"/>
      <c r="N657" s="37"/>
      <c r="R657" s="36"/>
      <c r="S657" s="38"/>
      <c r="T657" s="39"/>
      <c r="U657" s="40"/>
      <c r="W657" s="41"/>
      <c r="X657" s="42"/>
    </row>
    <row r="658" spans="13:24" ht="14.25" customHeight="1">
      <c r="M658" s="36"/>
      <c r="N658" s="37"/>
      <c r="R658" s="36"/>
      <c r="S658" s="38"/>
      <c r="T658" s="39"/>
      <c r="U658" s="40"/>
      <c r="W658" s="41"/>
      <c r="X658" s="42"/>
    </row>
    <row r="659" spans="13:24" ht="14.25" customHeight="1">
      <c r="M659" s="36"/>
      <c r="N659" s="37"/>
      <c r="R659" s="36"/>
      <c r="S659" s="38"/>
      <c r="T659" s="39"/>
      <c r="U659" s="40"/>
      <c r="W659" s="41"/>
      <c r="X659" s="42"/>
    </row>
    <row r="660" spans="13:24" ht="14.25" customHeight="1">
      <c r="M660" s="36"/>
      <c r="N660" s="37"/>
      <c r="R660" s="36"/>
      <c r="S660" s="38"/>
      <c r="T660" s="39"/>
      <c r="U660" s="40"/>
      <c r="W660" s="41"/>
      <c r="X660" s="42"/>
    </row>
    <row r="661" spans="13:24" ht="14.25" customHeight="1">
      <c r="M661" s="36"/>
      <c r="N661" s="37"/>
      <c r="R661" s="36"/>
      <c r="S661" s="38"/>
      <c r="T661" s="39"/>
      <c r="U661" s="40"/>
      <c r="W661" s="41"/>
      <c r="X661" s="42"/>
    </row>
    <row r="662" spans="13:24" ht="14.25" customHeight="1">
      <c r="M662" s="36"/>
      <c r="N662" s="37"/>
      <c r="R662" s="36"/>
      <c r="S662" s="38"/>
      <c r="T662" s="39"/>
      <c r="U662" s="40"/>
      <c r="W662" s="41"/>
      <c r="X662" s="42"/>
    </row>
    <row r="663" spans="13:24" ht="14.25" customHeight="1">
      <c r="M663" s="36"/>
      <c r="N663" s="37"/>
      <c r="R663" s="36"/>
      <c r="S663" s="38"/>
      <c r="T663" s="39"/>
      <c r="U663" s="40"/>
      <c r="W663" s="41"/>
      <c r="X663" s="42"/>
    </row>
    <row r="664" spans="13:24" ht="14.25" customHeight="1">
      <c r="M664" s="36"/>
      <c r="N664" s="37"/>
      <c r="R664" s="36"/>
      <c r="S664" s="38"/>
      <c r="T664" s="39"/>
      <c r="U664" s="40"/>
      <c r="W664" s="41"/>
      <c r="X664" s="42"/>
    </row>
    <row r="665" spans="13:24" ht="14.25" customHeight="1">
      <c r="M665" s="36"/>
      <c r="N665" s="37"/>
      <c r="R665" s="36"/>
      <c r="S665" s="38"/>
      <c r="T665" s="39"/>
      <c r="U665" s="40"/>
      <c r="W665" s="41"/>
      <c r="X665" s="42"/>
    </row>
    <row r="666" spans="13:24" ht="14.25" customHeight="1">
      <c r="M666" s="36"/>
      <c r="N666" s="37"/>
      <c r="R666" s="36"/>
      <c r="S666" s="38"/>
      <c r="T666" s="39"/>
      <c r="U666" s="40"/>
      <c r="W666" s="41"/>
      <c r="X666" s="42"/>
    </row>
    <row r="667" spans="13:24" ht="14.25" customHeight="1">
      <c r="M667" s="36"/>
      <c r="N667" s="37"/>
      <c r="R667" s="36"/>
      <c r="S667" s="38"/>
      <c r="T667" s="39"/>
      <c r="U667" s="40"/>
      <c r="W667" s="41"/>
      <c r="X667" s="42"/>
    </row>
    <row r="668" spans="13:24" ht="14.25" customHeight="1">
      <c r="M668" s="36"/>
      <c r="N668" s="37"/>
      <c r="R668" s="36"/>
      <c r="S668" s="38"/>
      <c r="T668" s="39"/>
      <c r="U668" s="40"/>
      <c r="W668" s="41"/>
      <c r="X668" s="42"/>
    </row>
    <row r="669" spans="13:24" ht="14.25" customHeight="1">
      <c r="M669" s="36"/>
      <c r="N669" s="37"/>
      <c r="R669" s="36"/>
      <c r="S669" s="38"/>
      <c r="T669" s="39"/>
      <c r="U669" s="40"/>
      <c r="W669" s="41"/>
      <c r="X669" s="42"/>
    </row>
    <row r="670" spans="13:24" ht="14.25" customHeight="1">
      <c r="M670" s="36"/>
      <c r="N670" s="37"/>
      <c r="R670" s="36"/>
      <c r="S670" s="38"/>
      <c r="T670" s="39"/>
      <c r="U670" s="40"/>
      <c r="W670" s="41"/>
      <c r="X670" s="42"/>
    </row>
    <row r="671" spans="13:24" ht="14.25" customHeight="1">
      <c r="M671" s="36"/>
      <c r="N671" s="37"/>
      <c r="R671" s="36"/>
      <c r="S671" s="38"/>
      <c r="T671" s="39"/>
      <c r="U671" s="40"/>
      <c r="W671" s="41"/>
      <c r="X671" s="42"/>
    </row>
    <row r="672" spans="13:24" ht="14.25" customHeight="1">
      <c r="M672" s="36"/>
      <c r="N672" s="37"/>
      <c r="R672" s="36"/>
      <c r="S672" s="38"/>
      <c r="T672" s="39"/>
      <c r="U672" s="40"/>
      <c r="W672" s="41"/>
      <c r="X672" s="42"/>
    </row>
    <row r="673" spans="13:24" ht="14.25" customHeight="1">
      <c r="M673" s="36"/>
      <c r="N673" s="37"/>
      <c r="R673" s="36"/>
      <c r="S673" s="38"/>
      <c r="T673" s="39"/>
      <c r="U673" s="40"/>
      <c r="W673" s="41"/>
      <c r="X673" s="42"/>
    </row>
    <row r="674" spans="13:24" ht="14.25" customHeight="1">
      <c r="M674" s="36"/>
      <c r="N674" s="37"/>
      <c r="R674" s="36"/>
      <c r="S674" s="38"/>
      <c r="T674" s="39"/>
      <c r="U674" s="40"/>
      <c r="W674" s="41"/>
      <c r="X674" s="42"/>
    </row>
    <row r="675" spans="13:24" ht="14.25" customHeight="1">
      <c r="M675" s="36"/>
      <c r="N675" s="37"/>
      <c r="R675" s="36"/>
      <c r="S675" s="38"/>
      <c r="T675" s="39"/>
      <c r="U675" s="40"/>
      <c r="W675" s="41"/>
      <c r="X675" s="42"/>
    </row>
    <row r="676" spans="13:24" ht="14.25" customHeight="1">
      <c r="M676" s="36"/>
      <c r="N676" s="37"/>
      <c r="R676" s="36"/>
      <c r="S676" s="38"/>
      <c r="T676" s="39"/>
      <c r="U676" s="40"/>
      <c r="W676" s="41"/>
      <c r="X676" s="42"/>
    </row>
    <row r="677" spans="13:24" ht="14.25" customHeight="1">
      <c r="M677" s="36"/>
      <c r="N677" s="37"/>
      <c r="R677" s="36"/>
      <c r="S677" s="38"/>
      <c r="T677" s="39"/>
      <c r="U677" s="40"/>
      <c r="W677" s="41"/>
      <c r="X677" s="42"/>
    </row>
    <row r="678" spans="13:24" ht="14.25" customHeight="1">
      <c r="M678" s="36"/>
      <c r="N678" s="37"/>
      <c r="R678" s="36"/>
      <c r="S678" s="38"/>
      <c r="T678" s="39"/>
      <c r="U678" s="40"/>
      <c r="W678" s="41"/>
      <c r="X678" s="42"/>
    </row>
    <row r="679" spans="13:24" ht="14.25" customHeight="1">
      <c r="M679" s="36"/>
      <c r="N679" s="37"/>
      <c r="R679" s="36"/>
      <c r="S679" s="38"/>
      <c r="T679" s="39"/>
      <c r="U679" s="40"/>
      <c r="W679" s="41"/>
      <c r="X679" s="42"/>
    </row>
    <row r="680" spans="13:24" ht="14.25" customHeight="1">
      <c r="M680" s="36"/>
      <c r="N680" s="37"/>
      <c r="R680" s="36"/>
      <c r="S680" s="38"/>
      <c r="T680" s="39"/>
      <c r="U680" s="40"/>
      <c r="W680" s="41"/>
      <c r="X680" s="42"/>
    </row>
    <row r="681" spans="13:24" ht="14.25" customHeight="1">
      <c r="M681" s="36"/>
      <c r="N681" s="37"/>
      <c r="R681" s="36"/>
      <c r="S681" s="38"/>
      <c r="T681" s="39"/>
      <c r="U681" s="40"/>
      <c r="W681" s="41"/>
      <c r="X681" s="42"/>
    </row>
    <row r="682" spans="13:24" ht="14.25" customHeight="1">
      <c r="M682" s="36"/>
      <c r="N682" s="37"/>
      <c r="R682" s="36"/>
      <c r="S682" s="38"/>
      <c r="T682" s="39"/>
      <c r="U682" s="40"/>
      <c r="W682" s="41"/>
      <c r="X682" s="42"/>
    </row>
    <row r="683" spans="13:24" ht="14.25" customHeight="1">
      <c r="M683" s="36"/>
      <c r="N683" s="37"/>
      <c r="R683" s="36"/>
      <c r="S683" s="38"/>
      <c r="T683" s="39"/>
      <c r="U683" s="40"/>
      <c r="W683" s="41"/>
      <c r="X683" s="42"/>
    </row>
    <row r="684" spans="13:24" ht="14.25" customHeight="1">
      <c r="M684" s="36"/>
      <c r="N684" s="37"/>
      <c r="R684" s="36"/>
      <c r="S684" s="38"/>
      <c r="T684" s="39"/>
      <c r="U684" s="40"/>
      <c r="W684" s="41"/>
      <c r="X684" s="42"/>
    </row>
    <row r="685" spans="13:24" ht="14.25" customHeight="1">
      <c r="M685" s="36"/>
      <c r="N685" s="37"/>
      <c r="R685" s="36"/>
      <c r="S685" s="38"/>
      <c r="T685" s="39"/>
      <c r="U685" s="40"/>
      <c r="W685" s="41"/>
      <c r="X685" s="42"/>
    </row>
    <row r="686" spans="13:24" ht="14.25" customHeight="1">
      <c r="M686" s="36"/>
      <c r="N686" s="37"/>
      <c r="R686" s="36"/>
      <c r="S686" s="38"/>
      <c r="T686" s="39"/>
      <c r="U686" s="40"/>
      <c r="W686" s="41"/>
      <c r="X686" s="42"/>
    </row>
    <row r="687" spans="13:24" ht="14.25" customHeight="1">
      <c r="M687" s="36"/>
      <c r="N687" s="37"/>
      <c r="R687" s="36"/>
      <c r="S687" s="38"/>
      <c r="T687" s="39"/>
      <c r="U687" s="40"/>
      <c r="W687" s="41"/>
      <c r="X687" s="42"/>
    </row>
    <row r="688" spans="13:24" ht="14.25" customHeight="1">
      <c r="M688" s="36"/>
      <c r="N688" s="37"/>
      <c r="R688" s="36"/>
      <c r="S688" s="38"/>
      <c r="T688" s="39"/>
      <c r="U688" s="40"/>
      <c r="W688" s="41"/>
      <c r="X688" s="42"/>
    </row>
    <row r="689" spans="13:24" ht="14.25" customHeight="1">
      <c r="M689" s="36"/>
      <c r="N689" s="37"/>
      <c r="R689" s="36"/>
      <c r="S689" s="38"/>
      <c r="T689" s="39"/>
      <c r="U689" s="40"/>
      <c r="W689" s="41"/>
      <c r="X689" s="42"/>
    </row>
    <row r="690" spans="13:24" ht="14.25" customHeight="1">
      <c r="M690" s="36"/>
      <c r="N690" s="37"/>
      <c r="R690" s="36"/>
      <c r="S690" s="38"/>
      <c r="T690" s="39"/>
      <c r="U690" s="40"/>
      <c r="W690" s="41"/>
      <c r="X690" s="42"/>
    </row>
    <row r="691" spans="13:24" ht="14.25" customHeight="1">
      <c r="M691" s="36"/>
      <c r="N691" s="37"/>
      <c r="R691" s="36"/>
      <c r="S691" s="38"/>
      <c r="T691" s="39"/>
      <c r="U691" s="40"/>
      <c r="W691" s="41"/>
      <c r="X691" s="42"/>
    </row>
    <row r="692" spans="13:24" ht="14.25" customHeight="1">
      <c r="M692" s="36"/>
      <c r="N692" s="37"/>
      <c r="R692" s="36"/>
      <c r="S692" s="38"/>
      <c r="T692" s="39"/>
      <c r="U692" s="40"/>
      <c r="W692" s="41"/>
      <c r="X692" s="42"/>
    </row>
    <row r="693" spans="13:24" ht="14.25" customHeight="1">
      <c r="M693" s="36"/>
      <c r="N693" s="37"/>
      <c r="R693" s="36"/>
      <c r="S693" s="38"/>
      <c r="T693" s="39"/>
      <c r="U693" s="40"/>
      <c r="W693" s="41"/>
      <c r="X693" s="42"/>
    </row>
    <row r="694" spans="13:24" ht="14.25" customHeight="1">
      <c r="M694" s="36"/>
      <c r="N694" s="37"/>
      <c r="R694" s="36"/>
      <c r="S694" s="38"/>
      <c r="T694" s="39"/>
      <c r="U694" s="40"/>
      <c r="W694" s="41"/>
      <c r="X694" s="42"/>
    </row>
    <row r="695" spans="13:24" ht="14.25" customHeight="1">
      <c r="M695" s="36"/>
      <c r="N695" s="37"/>
      <c r="R695" s="36"/>
      <c r="S695" s="38"/>
      <c r="T695" s="39"/>
      <c r="U695" s="40"/>
      <c r="W695" s="41"/>
      <c r="X695" s="42"/>
    </row>
    <row r="696" spans="13:24" ht="14.25" customHeight="1">
      <c r="M696" s="36"/>
      <c r="N696" s="37"/>
      <c r="R696" s="36"/>
      <c r="S696" s="38"/>
      <c r="T696" s="39"/>
      <c r="U696" s="40"/>
      <c r="W696" s="41"/>
      <c r="X696" s="42"/>
    </row>
    <row r="697" spans="13:24" ht="14.25" customHeight="1">
      <c r="M697" s="36"/>
      <c r="N697" s="37"/>
      <c r="R697" s="36"/>
      <c r="S697" s="38"/>
      <c r="T697" s="39"/>
      <c r="U697" s="40"/>
      <c r="W697" s="41"/>
      <c r="X697" s="42"/>
    </row>
    <row r="698" spans="13:24" ht="14.25" customHeight="1">
      <c r="M698" s="36"/>
      <c r="N698" s="37"/>
      <c r="R698" s="36"/>
      <c r="S698" s="38"/>
      <c r="T698" s="39"/>
      <c r="U698" s="40"/>
      <c r="W698" s="41"/>
      <c r="X698" s="42"/>
    </row>
    <row r="699" spans="13:24" ht="14.25" customHeight="1">
      <c r="M699" s="36"/>
      <c r="N699" s="37"/>
      <c r="R699" s="36"/>
      <c r="S699" s="38"/>
      <c r="T699" s="39"/>
      <c r="U699" s="40"/>
      <c r="W699" s="41"/>
      <c r="X699" s="42"/>
    </row>
    <row r="700" spans="13:24" ht="14.25" customHeight="1">
      <c r="M700" s="36"/>
      <c r="N700" s="37"/>
      <c r="R700" s="36"/>
      <c r="S700" s="38"/>
      <c r="T700" s="39"/>
      <c r="U700" s="40"/>
      <c r="W700" s="41"/>
      <c r="X700" s="42"/>
    </row>
    <row r="701" spans="13:24" ht="14.25" customHeight="1">
      <c r="M701" s="36"/>
      <c r="N701" s="37"/>
      <c r="R701" s="36"/>
      <c r="S701" s="38"/>
      <c r="T701" s="39"/>
      <c r="U701" s="40"/>
      <c r="W701" s="41"/>
      <c r="X701" s="42"/>
    </row>
    <row r="702" spans="13:24" ht="14.25" customHeight="1">
      <c r="M702" s="36"/>
      <c r="N702" s="37"/>
      <c r="R702" s="36"/>
      <c r="S702" s="38"/>
      <c r="T702" s="39"/>
      <c r="U702" s="40"/>
      <c r="W702" s="41"/>
      <c r="X702" s="42"/>
    </row>
    <row r="703" spans="13:24" ht="14.25" customHeight="1">
      <c r="M703" s="36"/>
      <c r="N703" s="37"/>
      <c r="R703" s="36"/>
      <c r="S703" s="38"/>
      <c r="T703" s="39"/>
      <c r="U703" s="40"/>
      <c r="W703" s="41"/>
      <c r="X703" s="42"/>
    </row>
    <row r="704" spans="13:24" ht="14.25" customHeight="1">
      <c r="M704" s="36"/>
      <c r="N704" s="37"/>
      <c r="R704" s="36"/>
      <c r="S704" s="38"/>
      <c r="T704" s="39"/>
      <c r="U704" s="40"/>
      <c r="W704" s="41"/>
      <c r="X704" s="42"/>
    </row>
    <row r="705" spans="13:24" ht="14.25" customHeight="1">
      <c r="M705" s="36"/>
      <c r="N705" s="37"/>
      <c r="R705" s="36"/>
      <c r="S705" s="38"/>
      <c r="T705" s="39"/>
      <c r="U705" s="40"/>
      <c r="W705" s="41"/>
      <c r="X705" s="42"/>
    </row>
    <row r="706" spans="13:24" ht="14.25" customHeight="1">
      <c r="M706" s="36"/>
      <c r="N706" s="37"/>
      <c r="R706" s="36"/>
      <c r="S706" s="38"/>
      <c r="T706" s="39"/>
      <c r="U706" s="40"/>
      <c r="W706" s="41"/>
      <c r="X706" s="42"/>
    </row>
    <row r="707" spans="13:24" ht="14.25" customHeight="1">
      <c r="M707" s="36"/>
      <c r="N707" s="37"/>
      <c r="R707" s="36"/>
      <c r="S707" s="38"/>
      <c r="T707" s="39"/>
      <c r="U707" s="40"/>
      <c r="W707" s="41"/>
      <c r="X707" s="42"/>
    </row>
    <row r="708" spans="13:24" ht="14.25" customHeight="1">
      <c r="M708" s="36"/>
      <c r="N708" s="37"/>
      <c r="R708" s="36"/>
      <c r="S708" s="38"/>
      <c r="T708" s="39"/>
      <c r="U708" s="40"/>
      <c r="W708" s="41"/>
      <c r="X708" s="42"/>
    </row>
    <row r="709" spans="13:24" ht="14.25" customHeight="1">
      <c r="M709" s="36"/>
      <c r="N709" s="37"/>
      <c r="R709" s="36"/>
      <c r="S709" s="38"/>
      <c r="T709" s="39"/>
      <c r="U709" s="40"/>
      <c r="W709" s="41"/>
      <c r="X709" s="42"/>
    </row>
    <row r="710" spans="13:24" ht="14.25" customHeight="1">
      <c r="M710" s="36"/>
      <c r="N710" s="37"/>
      <c r="R710" s="36"/>
      <c r="S710" s="38"/>
      <c r="T710" s="39"/>
      <c r="U710" s="40"/>
      <c r="W710" s="41"/>
      <c r="X710" s="42"/>
    </row>
    <row r="711" spans="13:24" ht="14.25" customHeight="1">
      <c r="M711" s="36"/>
      <c r="N711" s="37"/>
      <c r="R711" s="36"/>
      <c r="S711" s="38"/>
      <c r="T711" s="39"/>
      <c r="U711" s="40"/>
      <c r="W711" s="41"/>
      <c r="X711" s="42"/>
    </row>
    <row r="712" spans="13:24" ht="14.25" customHeight="1">
      <c r="M712" s="36"/>
      <c r="N712" s="37"/>
      <c r="R712" s="36"/>
      <c r="S712" s="38"/>
      <c r="T712" s="39"/>
      <c r="U712" s="40"/>
      <c r="W712" s="41"/>
      <c r="X712" s="42"/>
    </row>
    <row r="713" spans="13:24" ht="14.25" customHeight="1">
      <c r="M713" s="36"/>
      <c r="N713" s="37"/>
      <c r="R713" s="36"/>
      <c r="S713" s="38"/>
      <c r="T713" s="39"/>
      <c r="U713" s="40"/>
      <c r="W713" s="41"/>
      <c r="X713" s="42"/>
    </row>
    <row r="714" spans="13:24" ht="14.25" customHeight="1">
      <c r="M714" s="36"/>
      <c r="N714" s="37"/>
      <c r="R714" s="36"/>
      <c r="S714" s="38"/>
      <c r="T714" s="39"/>
      <c r="U714" s="40"/>
      <c r="W714" s="41"/>
      <c r="X714" s="42"/>
    </row>
    <row r="715" spans="13:24" ht="14.25" customHeight="1">
      <c r="M715" s="36"/>
      <c r="N715" s="37"/>
      <c r="R715" s="36"/>
      <c r="S715" s="38"/>
      <c r="T715" s="39"/>
      <c r="U715" s="40"/>
      <c r="W715" s="41"/>
      <c r="X715" s="42"/>
    </row>
    <row r="716" spans="13:24" ht="14.25" customHeight="1">
      <c r="M716" s="36"/>
      <c r="N716" s="37"/>
      <c r="R716" s="36"/>
      <c r="S716" s="38"/>
      <c r="T716" s="39"/>
      <c r="U716" s="40"/>
      <c r="W716" s="41"/>
      <c r="X716" s="42"/>
    </row>
    <row r="717" spans="13:24" ht="14.25" customHeight="1">
      <c r="M717" s="36"/>
      <c r="N717" s="37"/>
      <c r="R717" s="36"/>
      <c r="S717" s="38"/>
      <c r="T717" s="39"/>
      <c r="U717" s="40"/>
      <c r="W717" s="41"/>
      <c r="X717" s="42"/>
    </row>
    <row r="718" spans="13:24" ht="14.25" customHeight="1">
      <c r="M718" s="36"/>
      <c r="N718" s="37"/>
      <c r="R718" s="36"/>
      <c r="S718" s="38"/>
      <c r="T718" s="39"/>
      <c r="U718" s="40"/>
      <c r="W718" s="41"/>
      <c r="X718" s="42"/>
    </row>
    <row r="719" spans="13:24" ht="14.25" customHeight="1">
      <c r="M719" s="36"/>
      <c r="N719" s="37"/>
      <c r="R719" s="36"/>
      <c r="S719" s="38"/>
      <c r="T719" s="39"/>
      <c r="U719" s="40"/>
      <c r="W719" s="41"/>
      <c r="X719" s="42"/>
    </row>
    <row r="720" spans="13:24" ht="14.25" customHeight="1">
      <c r="M720" s="36"/>
      <c r="N720" s="37"/>
      <c r="R720" s="36"/>
      <c r="S720" s="38"/>
      <c r="T720" s="39"/>
      <c r="U720" s="40"/>
      <c r="W720" s="41"/>
      <c r="X720" s="42"/>
    </row>
    <row r="721" spans="13:24" ht="14.25" customHeight="1">
      <c r="M721" s="36"/>
      <c r="N721" s="37"/>
      <c r="R721" s="36"/>
      <c r="S721" s="38"/>
      <c r="T721" s="39"/>
      <c r="U721" s="40"/>
      <c r="W721" s="41"/>
      <c r="X721" s="42"/>
    </row>
    <row r="722" spans="13:24" ht="14.25" customHeight="1">
      <c r="M722" s="36"/>
      <c r="N722" s="37"/>
      <c r="R722" s="36"/>
      <c r="S722" s="38"/>
      <c r="T722" s="39"/>
      <c r="U722" s="40"/>
      <c r="W722" s="41"/>
      <c r="X722" s="42"/>
    </row>
    <row r="723" spans="13:24" ht="14.25" customHeight="1">
      <c r="M723" s="36"/>
      <c r="N723" s="37"/>
      <c r="R723" s="36"/>
      <c r="S723" s="38"/>
      <c r="T723" s="39"/>
      <c r="U723" s="40"/>
      <c r="W723" s="41"/>
      <c r="X723" s="42"/>
    </row>
    <row r="724" spans="13:24" ht="14.25" customHeight="1">
      <c r="M724" s="36"/>
      <c r="N724" s="37"/>
      <c r="R724" s="36"/>
      <c r="S724" s="38"/>
      <c r="T724" s="39"/>
      <c r="U724" s="40"/>
      <c r="W724" s="41"/>
      <c r="X724" s="42"/>
    </row>
    <row r="725" spans="13:24" ht="14.25" customHeight="1">
      <c r="M725" s="36"/>
      <c r="N725" s="37"/>
      <c r="R725" s="36"/>
      <c r="S725" s="38"/>
      <c r="T725" s="39"/>
      <c r="U725" s="40"/>
      <c r="W725" s="41"/>
      <c r="X725" s="42"/>
    </row>
    <row r="726" spans="13:24" ht="14.25" customHeight="1">
      <c r="M726" s="36"/>
      <c r="N726" s="37"/>
      <c r="R726" s="36"/>
      <c r="S726" s="38"/>
      <c r="T726" s="39"/>
      <c r="U726" s="40"/>
      <c r="W726" s="41"/>
      <c r="X726" s="42"/>
    </row>
    <row r="727" spans="13:24" ht="14.25" customHeight="1">
      <c r="M727" s="36"/>
      <c r="N727" s="37"/>
      <c r="R727" s="36"/>
      <c r="S727" s="38"/>
      <c r="T727" s="39"/>
      <c r="U727" s="40"/>
      <c r="W727" s="41"/>
      <c r="X727" s="42"/>
    </row>
    <row r="728" spans="13:24" ht="14.25" customHeight="1">
      <c r="M728" s="36"/>
      <c r="N728" s="37"/>
      <c r="R728" s="36"/>
      <c r="S728" s="38"/>
      <c r="T728" s="39"/>
      <c r="U728" s="40"/>
      <c r="W728" s="41"/>
      <c r="X728" s="42"/>
    </row>
    <row r="729" spans="13:24" ht="14.25" customHeight="1">
      <c r="M729" s="36"/>
      <c r="N729" s="37"/>
      <c r="R729" s="36"/>
      <c r="S729" s="38"/>
      <c r="T729" s="39"/>
      <c r="U729" s="40"/>
      <c r="W729" s="41"/>
      <c r="X729" s="42"/>
    </row>
    <row r="730" spans="13:24" ht="14.25" customHeight="1">
      <c r="M730" s="36"/>
      <c r="N730" s="37"/>
      <c r="R730" s="36"/>
      <c r="S730" s="38"/>
      <c r="T730" s="39"/>
      <c r="U730" s="40"/>
      <c r="W730" s="41"/>
      <c r="X730" s="42"/>
    </row>
    <row r="731" spans="13:24" ht="14.25" customHeight="1">
      <c r="M731" s="36"/>
      <c r="N731" s="37"/>
      <c r="R731" s="36"/>
      <c r="S731" s="38"/>
      <c r="T731" s="39"/>
      <c r="U731" s="40"/>
      <c r="W731" s="41"/>
      <c r="X731" s="42"/>
    </row>
    <row r="732" spans="13:24" ht="14.25" customHeight="1">
      <c r="M732" s="36"/>
      <c r="N732" s="37"/>
      <c r="R732" s="36"/>
      <c r="S732" s="38"/>
      <c r="T732" s="39"/>
      <c r="U732" s="40"/>
      <c r="W732" s="41"/>
      <c r="X732" s="42"/>
    </row>
    <row r="733" spans="13:24" ht="14.25" customHeight="1">
      <c r="M733" s="36"/>
      <c r="N733" s="37"/>
      <c r="R733" s="36"/>
      <c r="S733" s="38"/>
      <c r="T733" s="39"/>
      <c r="U733" s="40"/>
      <c r="W733" s="41"/>
      <c r="X733" s="42"/>
    </row>
    <row r="734" spans="13:24" ht="14.25" customHeight="1">
      <c r="M734" s="36"/>
      <c r="N734" s="37"/>
      <c r="R734" s="36"/>
      <c r="S734" s="38"/>
      <c r="T734" s="39"/>
      <c r="U734" s="40"/>
      <c r="W734" s="41"/>
      <c r="X734" s="42"/>
    </row>
    <row r="735" spans="13:24" ht="14.25" customHeight="1">
      <c r="M735" s="36"/>
      <c r="N735" s="37"/>
      <c r="R735" s="36"/>
      <c r="S735" s="38"/>
      <c r="T735" s="39"/>
      <c r="U735" s="40"/>
      <c r="W735" s="41"/>
      <c r="X735" s="42"/>
    </row>
    <row r="736" spans="13:24" ht="14.25" customHeight="1">
      <c r="M736" s="36"/>
      <c r="N736" s="37"/>
      <c r="R736" s="36"/>
      <c r="S736" s="38"/>
      <c r="T736" s="39"/>
      <c r="U736" s="40"/>
      <c r="W736" s="41"/>
      <c r="X736" s="42"/>
    </row>
    <row r="737" spans="13:24" ht="14.25" customHeight="1">
      <c r="M737" s="36"/>
      <c r="N737" s="37"/>
      <c r="R737" s="36"/>
      <c r="S737" s="38"/>
      <c r="T737" s="39"/>
      <c r="U737" s="40"/>
      <c r="W737" s="41"/>
      <c r="X737" s="42"/>
    </row>
    <row r="738" spans="13:24" ht="14.25" customHeight="1">
      <c r="M738" s="36"/>
      <c r="N738" s="37"/>
      <c r="R738" s="36"/>
      <c r="S738" s="38"/>
      <c r="T738" s="39"/>
      <c r="U738" s="40"/>
      <c r="W738" s="41"/>
      <c r="X738" s="42"/>
    </row>
    <row r="739" spans="13:24" ht="14.25" customHeight="1">
      <c r="M739" s="36"/>
      <c r="N739" s="37"/>
      <c r="R739" s="36"/>
      <c r="S739" s="38"/>
      <c r="T739" s="39"/>
      <c r="U739" s="40"/>
      <c r="W739" s="41"/>
      <c r="X739" s="42"/>
    </row>
    <row r="740" spans="13:24" ht="14.25" customHeight="1">
      <c r="M740" s="36"/>
      <c r="N740" s="37"/>
      <c r="R740" s="36"/>
      <c r="S740" s="38"/>
      <c r="T740" s="39"/>
      <c r="U740" s="40"/>
      <c r="W740" s="41"/>
      <c r="X740" s="42"/>
    </row>
    <row r="741" spans="13:24" ht="14.25" customHeight="1">
      <c r="M741" s="36"/>
      <c r="N741" s="37"/>
      <c r="R741" s="36"/>
      <c r="S741" s="38"/>
      <c r="T741" s="39"/>
      <c r="U741" s="40"/>
      <c r="W741" s="41"/>
      <c r="X741" s="42"/>
    </row>
    <row r="742" spans="13:24" ht="14.25" customHeight="1">
      <c r="M742" s="36"/>
      <c r="N742" s="37"/>
      <c r="R742" s="36"/>
      <c r="S742" s="38"/>
      <c r="T742" s="39"/>
      <c r="U742" s="40"/>
      <c r="W742" s="41"/>
      <c r="X742" s="42"/>
    </row>
    <row r="743" spans="13:24" ht="14.25" customHeight="1">
      <c r="M743" s="36"/>
      <c r="N743" s="37"/>
      <c r="R743" s="36"/>
      <c r="S743" s="38"/>
      <c r="T743" s="39"/>
      <c r="U743" s="40"/>
      <c r="W743" s="41"/>
      <c r="X743" s="42"/>
    </row>
    <row r="744" spans="13:24" ht="14.25" customHeight="1">
      <c r="M744" s="36"/>
      <c r="N744" s="37"/>
      <c r="R744" s="36"/>
      <c r="S744" s="38"/>
      <c r="T744" s="39"/>
      <c r="U744" s="40"/>
      <c r="W744" s="41"/>
      <c r="X744" s="42"/>
    </row>
    <row r="745" spans="13:24" ht="14.25" customHeight="1">
      <c r="M745" s="36"/>
      <c r="N745" s="37"/>
      <c r="R745" s="36"/>
      <c r="S745" s="38"/>
      <c r="T745" s="39"/>
      <c r="U745" s="40"/>
      <c r="W745" s="41"/>
      <c r="X745" s="42"/>
    </row>
    <row r="746" spans="13:24" ht="14.25" customHeight="1">
      <c r="M746" s="36"/>
      <c r="N746" s="37"/>
      <c r="R746" s="36"/>
      <c r="S746" s="38"/>
      <c r="T746" s="39"/>
      <c r="U746" s="40"/>
      <c r="W746" s="41"/>
      <c r="X746" s="42"/>
    </row>
    <row r="747" spans="13:24" ht="14.25" customHeight="1">
      <c r="M747" s="36"/>
      <c r="N747" s="37"/>
      <c r="R747" s="36"/>
      <c r="S747" s="38"/>
      <c r="T747" s="39"/>
      <c r="U747" s="40"/>
      <c r="W747" s="41"/>
      <c r="X747" s="42"/>
    </row>
    <row r="748" spans="13:24" ht="14.25" customHeight="1">
      <c r="M748" s="36"/>
      <c r="N748" s="37"/>
      <c r="R748" s="36"/>
      <c r="S748" s="38"/>
      <c r="T748" s="39"/>
      <c r="U748" s="40"/>
      <c r="W748" s="41"/>
      <c r="X748" s="42"/>
    </row>
    <row r="749" spans="13:24" ht="14.25" customHeight="1">
      <c r="M749" s="36"/>
      <c r="N749" s="37"/>
      <c r="R749" s="36"/>
      <c r="S749" s="38"/>
      <c r="T749" s="39"/>
      <c r="U749" s="40"/>
      <c r="W749" s="41"/>
      <c r="X749" s="42"/>
    </row>
    <row r="750" spans="13:24" ht="14.25" customHeight="1">
      <c r="M750" s="36"/>
      <c r="N750" s="37"/>
      <c r="R750" s="36"/>
      <c r="S750" s="38"/>
      <c r="T750" s="39"/>
      <c r="U750" s="40"/>
      <c r="W750" s="41"/>
      <c r="X750" s="42"/>
    </row>
    <row r="751" spans="13:24" ht="14.25" customHeight="1">
      <c r="M751" s="36"/>
      <c r="N751" s="37"/>
      <c r="R751" s="36"/>
      <c r="S751" s="38"/>
      <c r="T751" s="39"/>
      <c r="U751" s="40"/>
      <c r="W751" s="41"/>
      <c r="X751" s="42"/>
    </row>
    <row r="752" spans="13:24" ht="14.25" customHeight="1">
      <c r="M752" s="36"/>
      <c r="N752" s="37"/>
      <c r="R752" s="36"/>
      <c r="S752" s="38"/>
      <c r="T752" s="39"/>
      <c r="U752" s="40"/>
      <c r="W752" s="41"/>
      <c r="X752" s="42"/>
    </row>
    <row r="753" spans="13:24" ht="14.25" customHeight="1">
      <c r="M753" s="36"/>
      <c r="N753" s="37"/>
      <c r="R753" s="36"/>
      <c r="S753" s="38"/>
      <c r="T753" s="39"/>
      <c r="U753" s="40"/>
      <c r="W753" s="41"/>
      <c r="X753" s="42"/>
    </row>
    <row r="754" spans="13:24" ht="14.25" customHeight="1">
      <c r="M754" s="36"/>
      <c r="N754" s="37"/>
      <c r="R754" s="36"/>
      <c r="S754" s="38"/>
      <c r="T754" s="39"/>
      <c r="U754" s="40"/>
      <c r="W754" s="41"/>
      <c r="X754" s="42"/>
    </row>
    <row r="755" spans="13:24" ht="14.25" customHeight="1">
      <c r="M755" s="36"/>
      <c r="N755" s="37"/>
      <c r="R755" s="36"/>
      <c r="S755" s="38"/>
      <c r="T755" s="39"/>
      <c r="U755" s="40"/>
      <c r="W755" s="41"/>
      <c r="X755" s="42"/>
    </row>
    <row r="756" spans="13:24" ht="14.25" customHeight="1">
      <c r="M756" s="36"/>
      <c r="N756" s="37"/>
      <c r="R756" s="36"/>
      <c r="S756" s="38"/>
      <c r="T756" s="39"/>
      <c r="U756" s="40"/>
      <c r="W756" s="41"/>
      <c r="X756" s="42"/>
    </row>
    <row r="757" spans="13:24" ht="14.25" customHeight="1">
      <c r="M757" s="36"/>
      <c r="N757" s="37"/>
      <c r="R757" s="36"/>
      <c r="S757" s="38"/>
      <c r="T757" s="39"/>
      <c r="U757" s="40"/>
      <c r="W757" s="41"/>
      <c r="X757" s="42"/>
    </row>
    <row r="758" spans="13:24" ht="14.25" customHeight="1">
      <c r="M758" s="36"/>
      <c r="N758" s="37"/>
      <c r="R758" s="36"/>
      <c r="S758" s="38"/>
      <c r="T758" s="39"/>
      <c r="U758" s="40"/>
      <c r="W758" s="41"/>
      <c r="X758" s="42"/>
    </row>
    <row r="759" spans="13:24" ht="14.25" customHeight="1">
      <c r="M759" s="36"/>
      <c r="N759" s="37"/>
      <c r="R759" s="36"/>
      <c r="S759" s="38"/>
      <c r="T759" s="39"/>
      <c r="U759" s="40"/>
      <c r="W759" s="41"/>
      <c r="X759" s="42"/>
    </row>
    <row r="760" spans="13:24" ht="14.25" customHeight="1">
      <c r="M760" s="36"/>
      <c r="N760" s="37"/>
      <c r="R760" s="36"/>
      <c r="S760" s="38"/>
      <c r="T760" s="39"/>
      <c r="U760" s="40"/>
      <c r="W760" s="41"/>
      <c r="X760" s="42"/>
    </row>
    <row r="761" spans="13:24" ht="14.25" customHeight="1">
      <c r="M761" s="36"/>
      <c r="N761" s="37"/>
      <c r="R761" s="36"/>
      <c r="S761" s="38"/>
      <c r="T761" s="39"/>
      <c r="U761" s="40"/>
      <c r="W761" s="41"/>
      <c r="X761" s="42"/>
    </row>
    <row r="762" spans="13:24" ht="14.25" customHeight="1">
      <c r="M762" s="36"/>
      <c r="N762" s="37"/>
      <c r="R762" s="36"/>
      <c r="S762" s="38"/>
      <c r="T762" s="39"/>
      <c r="U762" s="40"/>
      <c r="W762" s="41"/>
      <c r="X762" s="42"/>
    </row>
    <row r="763" spans="13:24" ht="14.25" customHeight="1">
      <c r="M763" s="36"/>
      <c r="N763" s="37"/>
      <c r="R763" s="36"/>
      <c r="S763" s="38"/>
      <c r="T763" s="39"/>
      <c r="U763" s="40"/>
      <c r="W763" s="41"/>
      <c r="X763" s="42"/>
    </row>
    <row r="764" spans="13:24" ht="14.25" customHeight="1">
      <c r="M764" s="36"/>
      <c r="N764" s="37"/>
      <c r="R764" s="36"/>
      <c r="S764" s="38"/>
      <c r="T764" s="39"/>
      <c r="U764" s="40"/>
      <c r="W764" s="41"/>
      <c r="X764" s="42"/>
    </row>
    <row r="765" spans="13:24" ht="14.25" customHeight="1">
      <c r="M765" s="36"/>
      <c r="N765" s="37"/>
      <c r="R765" s="36"/>
      <c r="S765" s="38"/>
      <c r="T765" s="39"/>
      <c r="U765" s="40"/>
      <c r="W765" s="41"/>
      <c r="X765" s="42"/>
    </row>
    <row r="766" spans="13:24" ht="14.25" customHeight="1">
      <c r="M766" s="36"/>
      <c r="N766" s="37"/>
      <c r="R766" s="36"/>
      <c r="S766" s="38"/>
      <c r="T766" s="39"/>
      <c r="U766" s="40"/>
      <c r="W766" s="41"/>
      <c r="X766" s="42"/>
    </row>
    <row r="767" spans="13:24" ht="14.25" customHeight="1">
      <c r="M767" s="36"/>
      <c r="N767" s="37"/>
      <c r="R767" s="36"/>
      <c r="S767" s="38"/>
      <c r="T767" s="39"/>
      <c r="U767" s="40"/>
      <c r="W767" s="41"/>
      <c r="X767" s="42"/>
    </row>
    <row r="768" spans="13:24" ht="14.25" customHeight="1">
      <c r="M768" s="36"/>
      <c r="N768" s="37"/>
      <c r="R768" s="36"/>
      <c r="S768" s="38"/>
      <c r="T768" s="39"/>
      <c r="U768" s="40"/>
      <c r="W768" s="41"/>
      <c r="X768" s="42"/>
    </row>
    <row r="769" spans="13:24" ht="14.25" customHeight="1">
      <c r="M769" s="36"/>
      <c r="N769" s="37"/>
      <c r="R769" s="36"/>
      <c r="S769" s="38"/>
      <c r="T769" s="39"/>
      <c r="U769" s="40"/>
      <c r="W769" s="41"/>
      <c r="X769" s="42"/>
    </row>
    <row r="770" spans="13:24" ht="14.25" customHeight="1">
      <c r="M770" s="36"/>
      <c r="N770" s="37"/>
      <c r="R770" s="36"/>
      <c r="S770" s="38"/>
      <c r="T770" s="39"/>
      <c r="U770" s="40"/>
      <c r="W770" s="41"/>
      <c r="X770" s="42"/>
    </row>
    <row r="771" spans="13:24" ht="14.25" customHeight="1">
      <c r="M771" s="36"/>
      <c r="N771" s="37"/>
      <c r="R771" s="36"/>
      <c r="S771" s="38"/>
      <c r="T771" s="39"/>
      <c r="U771" s="40"/>
      <c r="W771" s="41"/>
      <c r="X771" s="42"/>
    </row>
    <row r="772" spans="13:24" ht="14.25" customHeight="1">
      <c r="M772" s="36"/>
      <c r="N772" s="37"/>
      <c r="R772" s="36"/>
      <c r="S772" s="38"/>
      <c r="T772" s="39"/>
      <c r="U772" s="40"/>
      <c r="W772" s="41"/>
      <c r="X772" s="42"/>
    </row>
    <row r="773" spans="13:24" ht="14.25" customHeight="1">
      <c r="M773" s="36"/>
      <c r="N773" s="37"/>
      <c r="R773" s="36"/>
      <c r="S773" s="38"/>
      <c r="T773" s="39"/>
      <c r="U773" s="40"/>
      <c r="W773" s="41"/>
      <c r="X773" s="42"/>
    </row>
    <row r="774" spans="13:24" ht="14.25" customHeight="1">
      <c r="M774" s="36"/>
      <c r="N774" s="37"/>
      <c r="R774" s="36"/>
      <c r="S774" s="38"/>
      <c r="T774" s="39"/>
      <c r="U774" s="40"/>
      <c r="W774" s="41"/>
      <c r="X774" s="42"/>
    </row>
    <row r="775" spans="13:24" ht="14.25" customHeight="1">
      <c r="M775" s="36"/>
      <c r="N775" s="37"/>
      <c r="R775" s="36"/>
      <c r="S775" s="38"/>
      <c r="T775" s="39"/>
      <c r="U775" s="40"/>
      <c r="W775" s="41"/>
      <c r="X775" s="42"/>
    </row>
    <row r="776" spans="13:24" ht="14.25" customHeight="1">
      <c r="M776" s="36"/>
      <c r="N776" s="37"/>
      <c r="R776" s="36"/>
      <c r="S776" s="38"/>
      <c r="T776" s="39"/>
      <c r="U776" s="40"/>
      <c r="W776" s="41"/>
      <c r="X776" s="42"/>
    </row>
    <row r="777" spans="13:24" ht="14.25" customHeight="1">
      <c r="M777" s="36"/>
      <c r="N777" s="37"/>
      <c r="R777" s="36"/>
      <c r="S777" s="38"/>
      <c r="T777" s="39"/>
      <c r="U777" s="40"/>
      <c r="W777" s="41"/>
      <c r="X777" s="42"/>
    </row>
    <row r="778" spans="13:24" ht="14.25" customHeight="1">
      <c r="M778" s="36"/>
      <c r="N778" s="37"/>
      <c r="R778" s="36"/>
      <c r="S778" s="38"/>
      <c r="T778" s="39"/>
      <c r="U778" s="40"/>
      <c r="W778" s="41"/>
      <c r="X778" s="42"/>
    </row>
    <row r="779" spans="13:24" ht="14.25" customHeight="1">
      <c r="M779" s="36"/>
      <c r="N779" s="37"/>
      <c r="R779" s="36"/>
      <c r="S779" s="38"/>
      <c r="T779" s="39"/>
      <c r="U779" s="40"/>
      <c r="W779" s="41"/>
      <c r="X779" s="42"/>
    </row>
    <row r="780" spans="13:24" ht="14.25" customHeight="1">
      <c r="M780" s="36"/>
      <c r="N780" s="37"/>
      <c r="R780" s="36"/>
      <c r="S780" s="38"/>
      <c r="T780" s="39"/>
      <c r="U780" s="40"/>
      <c r="W780" s="41"/>
      <c r="X780" s="42"/>
    </row>
    <row r="781" spans="13:24" ht="14.25" customHeight="1">
      <c r="M781" s="36"/>
      <c r="N781" s="37"/>
      <c r="R781" s="36"/>
      <c r="S781" s="38"/>
      <c r="T781" s="39"/>
      <c r="U781" s="40"/>
      <c r="W781" s="41"/>
      <c r="X781" s="42"/>
    </row>
    <row r="782" spans="13:24" ht="14.25" customHeight="1">
      <c r="M782" s="36"/>
      <c r="N782" s="37"/>
      <c r="R782" s="36"/>
      <c r="S782" s="38"/>
      <c r="T782" s="39"/>
      <c r="U782" s="40"/>
      <c r="W782" s="41"/>
      <c r="X782" s="42"/>
    </row>
    <row r="783" spans="13:24" ht="14.25" customHeight="1">
      <c r="M783" s="36"/>
      <c r="N783" s="37"/>
      <c r="R783" s="36"/>
      <c r="S783" s="38"/>
      <c r="T783" s="39"/>
      <c r="U783" s="40"/>
      <c r="W783" s="41"/>
      <c r="X783" s="42"/>
    </row>
    <row r="784" spans="13:24" ht="14.25" customHeight="1">
      <c r="M784" s="36"/>
      <c r="N784" s="37"/>
      <c r="R784" s="36"/>
      <c r="S784" s="38"/>
      <c r="T784" s="39"/>
      <c r="U784" s="40"/>
      <c r="W784" s="41"/>
      <c r="X784" s="42"/>
    </row>
    <row r="785" spans="13:24" ht="14.25" customHeight="1">
      <c r="M785" s="36"/>
      <c r="N785" s="37"/>
      <c r="R785" s="36"/>
      <c r="S785" s="38"/>
      <c r="T785" s="39"/>
      <c r="U785" s="40"/>
      <c r="W785" s="41"/>
      <c r="X785" s="42"/>
    </row>
    <row r="786" spans="13:24" ht="14.25" customHeight="1">
      <c r="M786" s="36"/>
      <c r="N786" s="37"/>
      <c r="R786" s="36"/>
      <c r="S786" s="38"/>
      <c r="T786" s="39"/>
      <c r="U786" s="40"/>
      <c r="W786" s="41"/>
      <c r="X786" s="42"/>
    </row>
    <row r="787" spans="13:24" ht="14.25" customHeight="1">
      <c r="M787" s="36"/>
      <c r="N787" s="37"/>
      <c r="R787" s="36"/>
      <c r="S787" s="38"/>
      <c r="T787" s="39"/>
      <c r="U787" s="40"/>
      <c r="W787" s="41"/>
      <c r="X787" s="42"/>
    </row>
    <row r="788" spans="13:24" ht="14.25" customHeight="1">
      <c r="M788" s="36"/>
      <c r="N788" s="37"/>
      <c r="R788" s="36"/>
      <c r="S788" s="38"/>
      <c r="T788" s="39"/>
      <c r="U788" s="40"/>
      <c r="W788" s="41"/>
      <c r="X788" s="42"/>
    </row>
    <row r="789" spans="13:24" ht="14.25" customHeight="1">
      <c r="M789" s="36"/>
      <c r="N789" s="37"/>
      <c r="R789" s="36"/>
      <c r="S789" s="38"/>
      <c r="T789" s="39"/>
      <c r="U789" s="40"/>
      <c r="W789" s="41"/>
      <c r="X789" s="42"/>
    </row>
    <row r="790" spans="13:24" ht="14.25" customHeight="1">
      <c r="M790" s="36"/>
      <c r="N790" s="37"/>
      <c r="R790" s="36"/>
      <c r="S790" s="38"/>
      <c r="T790" s="39"/>
      <c r="U790" s="40"/>
      <c r="W790" s="41"/>
      <c r="X790" s="42"/>
    </row>
    <row r="791" spans="13:24" ht="14.25" customHeight="1">
      <c r="M791" s="36"/>
      <c r="N791" s="37"/>
      <c r="R791" s="36"/>
      <c r="S791" s="38"/>
      <c r="T791" s="39"/>
      <c r="U791" s="40"/>
      <c r="W791" s="41"/>
      <c r="X791" s="42"/>
    </row>
    <row r="792" spans="13:24" ht="14.25" customHeight="1">
      <c r="M792" s="36"/>
      <c r="N792" s="37"/>
      <c r="R792" s="36"/>
      <c r="S792" s="38"/>
      <c r="T792" s="39"/>
      <c r="U792" s="40"/>
      <c r="W792" s="41"/>
      <c r="X792" s="42"/>
    </row>
    <row r="793" spans="13:24" ht="14.25" customHeight="1">
      <c r="M793" s="36"/>
      <c r="N793" s="37"/>
      <c r="R793" s="36"/>
      <c r="S793" s="38"/>
      <c r="T793" s="39"/>
      <c r="U793" s="40"/>
      <c r="W793" s="41"/>
      <c r="X793" s="42"/>
    </row>
    <row r="794" spans="13:24" ht="14.25" customHeight="1">
      <c r="M794" s="36"/>
      <c r="N794" s="37"/>
      <c r="R794" s="36"/>
      <c r="S794" s="38"/>
      <c r="T794" s="39"/>
      <c r="U794" s="40"/>
      <c r="W794" s="41"/>
      <c r="X794" s="42"/>
    </row>
    <row r="795" spans="13:24" ht="14.25" customHeight="1">
      <c r="M795" s="36"/>
      <c r="N795" s="37"/>
      <c r="R795" s="36"/>
      <c r="S795" s="38"/>
      <c r="T795" s="39"/>
      <c r="U795" s="40"/>
      <c r="W795" s="41"/>
      <c r="X795" s="42"/>
    </row>
    <row r="796" spans="13:24" ht="14.25" customHeight="1">
      <c r="M796" s="36"/>
      <c r="N796" s="37"/>
      <c r="R796" s="36"/>
      <c r="S796" s="38"/>
      <c r="T796" s="39"/>
      <c r="U796" s="40"/>
      <c r="W796" s="41"/>
      <c r="X796" s="42"/>
    </row>
    <row r="797" spans="13:24" ht="14.25" customHeight="1">
      <c r="M797" s="36"/>
      <c r="N797" s="37"/>
      <c r="R797" s="36"/>
      <c r="S797" s="38"/>
      <c r="T797" s="39"/>
      <c r="U797" s="40"/>
      <c r="W797" s="41"/>
      <c r="X797" s="42"/>
    </row>
    <row r="798" spans="13:24" ht="14.25" customHeight="1">
      <c r="M798" s="36"/>
      <c r="N798" s="37"/>
      <c r="R798" s="36"/>
      <c r="S798" s="38"/>
      <c r="T798" s="39"/>
      <c r="U798" s="40"/>
      <c r="W798" s="41"/>
      <c r="X798" s="42"/>
    </row>
    <row r="799" spans="13:24" ht="14.25" customHeight="1">
      <c r="M799" s="36"/>
      <c r="N799" s="37"/>
      <c r="R799" s="36"/>
      <c r="S799" s="38"/>
      <c r="T799" s="39"/>
      <c r="U799" s="40"/>
      <c r="W799" s="41"/>
      <c r="X799" s="42"/>
    </row>
    <row r="800" spans="13:24" ht="14.25" customHeight="1">
      <c r="M800" s="36"/>
      <c r="N800" s="37"/>
      <c r="R800" s="36"/>
      <c r="S800" s="38"/>
      <c r="T800" s="39"/>
      <c r="U800" s="40"/>
      <c r="W800" s="41"/>
      <c r="X800" s="42"/>
    </row>
    <row r="801" spans="13:24" ht="14.25" customHeight="1">
      <c r="M801" s="36"/>
      <c r="N801" s="37"/>
      <c r="R801" s="36"/>
      <c r="S801" s="38"/>
      <c r="T801" s="39"/>
      <c r="U801" s="40"/>
      <c r="W801" s="41"/>
      <c r="X801" s="42"/>
    </row>
    <row r="802" spans="13:24" ht="14.25" customHeight="1">
      <c r="M802" s="36"/>
      <c r="N802" s="37"/>
      <c r="R802" s="36"/>
      <c r="S802" s="38"/>
      <c r="T802" s="39"/>
      <c r="U802" s="40"/>
      <c r="W802" s="41"/>
      <c r="X802" s="42"/>
    </row>
    <row r="803" spans="13:24" ht="14.25" customHeight="1">
      <c r="M803" s="36"/>
      <c r="N803" s="37"/>
      <c r="R803" s="36"/>
      <c r="S803" s="38"/>
      <c r="T803" s="39"/>
      <c r="U803" s="40"/>
      <c r="W803" s="41"/>
      <c r="X803" s="42"/>
    </row>
    <row r="804" spans="13:24" ht="14.25" customHeight="1">
      <c r="M804" s="36"/>
      <c r="N804" s="37"/>
      <c r="R804" s="36"/>
      <c r="S804" s="38"/>
      <c r="T804" s="39"/>
      <c r="U804" s="40"/>
      <c r="W804" s="41"/>
      <c r="X804" s="42"/>
    </row>
    <row r="805" spans="13:24" ht="14.25" customHeight="1">
      <c r="M805" s="36"/>
      <c r="N805" s="37"/>
      <c r="R805" s="36"/>
      <c r="S805" s="38"/>
      <c r="T805" s="39"/>
      <c r="U805" s="40"/>
      <c r="W805" s="41"/>
      <c r="X805" s="42"/>
    </row>
    <row r="806" spans="13:24" ht="14.25" customHeight="1">
      <c r="M806" s="36"/>
      <c r="N806" s="37"/>
      <c r="R806" s="36"/>
      <c r="S806" s="38"/>
      <c r="T806" s="39"/>
      <c r="U806" s="40"/>
      <c r="W806" s="41"/>
      <c r="X806" s="42"/>
    </row>
    <row r="807" spans="13:24" ht="14.25" customHeight="1">
      <c r="M807" s="36"/>
      <c r="N807" s="37"/>
      <c r="R807" s="36"/>
      <c r="S807" s="38"/>
      <c r="T807" s="39"/>
      <c r="U807" s="40"/>
      <c r="W807" s="41"/>
      <c r="X807" s="42"/>
    </row>
    <row r="808" spans="13:24" ht="14.25" customHeight="1">
      <c r="M808" s="36"/>
      <c r="N808" s="37"/>
      <c r="R808" s="36"/>
      <c r="S808" s="38"/>
      <c r="T808" s="39"/>
      <c r="U808" s="40"/>
      <c r="W808" s="41"/>
      <c r="X808" s="42"/>
    </row>
    <row r="809" spans="13:24" ht="14.25" customHeight="1">
      <c r="M809" s="36"/>
      <c r="N809" s="37"/>
      <c r="R809" s="36"/>
      <c r="S809" s="38"/>
      <c r="T809" s="39"/>
      <c r="U809" s="40"/>
      <c r="W809" s="41"/>
      <c r="X809" s="42"/>
    </row>
    <row r="810" spans="13:24" ht="14.25" customHeight="1">
      <c r="M810" s="36"/>
      <c r="N810" s="37"/>
      <c r="R810" s="36"/>
      <c r="S810" s="38"/>
      <c r="T810" s="39"/>
      <c r="U810" s="40"/>
      <c r="W810" s="41"/>
      <c r="X810" s="42"/>
    </row>
    <row r="811" spans="13:24" ht="14.25" customHeight="1">
      <c r="M811" s="36"/>
      <c r="N811" s="37"/>
      <c r="R811" s="36"/>
      <c r="S811" s="38"/>
      <c r="T811" s="39"/>
      <c r="U811" s="40"/>
      <c r="W811" s="41"/>
      <c r="X811" s="42"/>
    </row>
    <row r="812" spans="13:24" ht="14.25" customHeight="1">
      <c r="M812" s="36"/>
      <c r="N812" s="37"/>
      <c r="R812" s="36"/>
      <c r="S812" s="38"/>
      <c r="T812" s="39"/>
      <c r="U812" s="40"/>
      <c r="W812" s="41"/>
      <c r="X812" s="42"/>
    </row>
    <row r="813" spans="13:24" ht="14.25" customHeight="1">
      <c r="M813" s="36"/>
      <c r="N813" s="37"/>
      <c r="R813" s="36"/>
      <c r="S813" s="38"/>
      <c r="T813" s="39"/>
      <c r="U813" s="40"/>
      <c r="W813" s="41"/>
      <c r="X813" s="42"/>
    </row>
    <row r="814" spans="13:24" ht="14.25" customHeight="1">
      <c r="M814" s="36"/>
      <c r="N814" s="37"/>
      <c r="R814" s="36"/>
      <c r="S814" s="38"/>
      <c r="T814" s="39"/>
      <c r="U814" s="40"/>
      <c r="W814" s="41"/>
      <c r="X814" s="42"/>
    </row>
    <row r="815" spans="13:24" ht="14.25" customHeight="1">
      <c r="M815" s="36"/>
      <c r="N815" s="37"/>
      <c r="R815" s="36"/>
      <c r="S815" s="38"/>
      <c r="T815" s="39"/>
      <c r="U815" s="40"/>
      <c r="W815" s="41"/>
      <c r="X815" s="42"/>
    </row>
    <row r="816" spans="13:24" ht="14.25" customHeight="1">
      <c r="M816" s="36"/>
      <c r="N816" s="37"/>
      <c r="R816" s="36"/>
      <c r="S816" s="38"/>
      <c r="T816" s="39"/>
      <c r="U816" s="40"/>
      <c r="W816" s="41"/>
      <c r="X816" s="42"/>
    </row>
    <row r="817" spans="13:24" ht="14.25" customHeight="1">
      <c r="M817" s="36"/>
      <c r="N817" s="37"/>
      <c r="R817" s="36"/>
      <c r="S817" s="38"/>
      <c r="T817" s="39"/>
      <c r="U817" s="40"/>
      <c r="W817" s="41"/>
      <c r="X817" s="42"/>
    </row>
    <row r="818" spans="13:24" ht="14.25" customHeight="1">
      <c r="M818" s="36"/>
      <c r="N818" s="37"/>
      <c r="R818" s="36"/>
      <c r="S818" s="38"/>
      <c r="T818" s="39"/>
      <c r="U818" s="40"/>
      <c r="W818" s="41"/>
      <c r="X818" s="42"/>
    </row>
    <row r="819" spans="13:24" ht="14.25" customHeight="1">
      <c r="M819" s="36"/>
      <c r="N819" s="37"/>
      <c r="R819" s="36"/>
      <c r="S819" s="38"/>
      <c r="T819" s="39"/>
      <c r="U819" s="40"/>
      <c r="W819" s="41"/>
      <c r="X819" s="42"/>
    </row>
    <row r="820" spans="13:24" ht="14.25" customHeight="1">
      <c r="M820" s="36"/>
      <c r="N820" s="37"/>
      <c r="R820" s="36"/>
      <c r="S820" s="38"/>
      <c r="T820" s="39"/>
      <c r="U820" s="40"/>
      <c r="W820" s="41"/>
      <c r="X820" s="42"/>
    </row>
    <row r="821" spans="13:24" ht="14.25" customHeight="1">
      <c r="M821" s="36"/>
      <c r="N821" s="37"/>
      <c r="R821" s="36"/>
      <c r="S821" s="38"/>
      <c r="T821" s="39"/>
      <c r="U821" s="40"/>
      <c r="W821" s="41"/>
      <c r="X821" s="42"/>
    </row>
    <row r="822" spans="13:24" ht="14.25" customHeight="1">
      <c r="M822" s="36"/>
      <c r="N822" s="37"/>
      <c r="R822" s="36"/>
      <c r="S822" s="38"/>
      <c r="T822" s="39"/>
      <c r="U822" s="40"/>
      <c r="W822" s="41"/>
      <c r="X822" s="42"/>
    </row>
    <row r="823" spans="13:24" ht="14.25" customHeight="1">
      <c r="M823" s="36"/>
      <c r="N823" s="37"/>
      <c r="R823" s="36"/>
      <c r="S823" s="38"/>
      <c r="T823" s="39"/>
      <c r="U823" s="40"/>
      <c r="W823" s="41"/>
      <c r="X823" s="42"/>
    </row>
    <row r="824" spans="13:24" ht="14.25" customHeight="1">
      <c r="M824" s="36"/>
      <c r="N824" s="37"/>
      <c r="R824" s="36"/>
      <c r="S824" s="38"/>
      <c r="T824" s="39"/>
      <c r="U824" s="40"/>
      <c r="W824" s="41"/>
      <c r="X824" s="42"/>
    </row>
    <row r="825" spans="13:24" ht="14.25" customHeight="1">
      <c r="M825" s="36"/>
      <c r="N825" s="37"/>
      <c r="R825" s="36"/>
      <c r="S825" s="38"/>
      <c r="T825" s="39"/>
      <c r="U825" s="40"/>
      <c r="W825" s="41"/>
      <c r="X825" s="42"/>
    </row>
    <row r="826" spans="13:24" ht="14.25" customHeight="1">
      <c r="M826" s="36"/>
      <c r="N826" s="37"/>
      <c r="R826" s="36"/>
      <c r="S826" s="38"/>
      <c r="T826" s="39"/>
      <c r="U826" s="40"/>
      <c r="W826" s="41"/>
      <c r="X826" s="42"/>
    </row>
    <row r="827" spans="13:24" ht="14.25" customHeight="1">
      <c r="M827" s="36"/>
      <c r="N827" s="37"/>
      <c r="R827" s="36"/>
      <c r="S827" s="38"/>
      <c r="T827" s="39"/>
      <c r="U827" s="40"/>
      <c r="W827" s="41"/>
      <c r="X827" s="42"/>
    </row>
    <row r="828" spans="13:24" ht="14.25" customHeight="1">
      <c r="M828" s="36"/>
      <c r="N828" s="37"/>
      <c r="R828" s="36"/>
      <c r="S828" s="38"/>
      <c r="T828" s="39"/>
      <c r="U828" s="40"/>
      <c r="W828" s="41"/>
      <c r="X828" s="42"/>
    </row>
    <row r="829" spans="13:24" ht="14.25" customHeight="1">
      <c r="M829" s="36"/>
      <c r="N829" s="37"/>
      <c r="R829" s="36"/>
      <c r="S829" s="38"/>
      <c r="T829" s="39"/>
      <c r="U829" s="40"/>
      <c r="W829" s="41"/>
      <c r="X829" s="42"/>
    </row>
    <row r="830" spans="13:24" ht="14.25" customHeight="1">
      <c r="M830" s="36"/>
      <c r="N830" s="37"/>
      <c r="R830" s="36"/>
      <c r="S830" s="38"/>
      <c r="T830" s="39"/>
      <c r="U830" s="40"/>
      <c r="W830" s="41"/>
      <c r="X830" s="42"/>
    </row>
    <row r="831" spans="13:24" ht="14.25" customHeight="1">
      <c r="M831" s="36"/>
      <c r="N831" s="37"/>
      <c r="R831" s="36"/>
      <c r="S831" s="38"/>
      <c r="T831" s="39"/>
      <c r="U831" s="40"/>
      <c r="W831" s="41"/>
      <c r="X831" s="42"/>
    </row>
    <row r="832" spans="13:24" ht="14.25" customHeight="1">
      <c r="M832" s="36"/>
      <c r="N832" s="37"/>
      <c r="R832" s="36"/>
      <c r="S832" s="38"/>
      <c r="T832" s="39"/>
      <c r="U832" s="40"/>
      <c r="W832" s="41"/>
      <c r="X832" s="42"/>
    </row>
    <row r="833" spans="13:24" ht="14.25" customHeight="1">
      <c r="M833" s="36"/>
      <c r="N833" s="37"/>
      <c r="R833" s="36"/>
      <c r="S833" s="38"/>
      <c r="T833" s="39"/>
      <c r="U833" s="40"/>
      <c r="W833" s="41"/>
      <c r="X833" s="42"/>
    </row>
    <row r="834" spans="13:24" ht="14.25" customHeight="1">
      <c r="M834" s="36"/>
      <c r="N834" s="37"/>
      <c r="R834" s="36"/>
      <c r="S834" s="38"/>
      <c r="T834" s="39"/>
      <c r="U834" s="40"/>
      <c r="W834" s="41"/>
      <c r="X834" s="42"/>
    </row>
    <row r="835" spans="13:24" ht="14.25" customHeight="1">
      <c r="M835" s="36"/>
      <c r="N835" s="37"/>
      <c r="R835" s="36"/>
      <c r="S835" s="38"/>
      <c r="T835" s="39"/>
      <c r="U835" s="40"/>
      <c r="W835" s="41"/>
      <c r="X835" s="42"/>
    </row>
    <row r="836" spans="13:24" ht="14.25" customHeight="1">
      <c r="M836" s="36"/>
      <c r="N836" s="37"/>
      <c r="R836" s="36"/>
      <c r="S836" s="38"/>
      <c r="T836" s="39"/>
      <c r="U836" s="40"/>
      <c r="W836" s="41"/>
      <c r="X836" s="42"/>
    </row>
    <row r="837" spans="13:24" ht="14.25" customHeight="1">
      <c r="M837" s="36"/>
      <c r="N837" s="37"/>
      <c r="R837" s="36"/>
      <c r="S837" s="38"/>
      <c r="T837" s="39"/>
      <c r="U837" s="40"/>
      <c r="W837" s="41"/>
      <c r="X837" s="42"/>
    </row>
    <row r="838" spans="13:24" ht="14.25" customHeight="1">
      <c r="M838" s="36"/>
      <c r="N838" s="37"/>
      <c r="R838" s="36"/>
      <c r="S838" s="38"/>
      <c r="T838" s="39"/>
      <c r="U838" s="40"/>
      <c r="W838" s="41"/>
      <c r="X838" s="42"/>
    </row>
    <row r="839" spans="13:24" ht="14.25" customHeight="1">
      <c r="M839" s="36"/>
      <c r="N839" s="37"/>
      <c r="R839" s="36"/>
      <c r="S839" s="38"/>
      <c r="T839" s="39"/>
      <c r="U839" s="40"/>
      <c r="W839" s="41"/>
      <c r="X839" s="42"/>
    </row>
    <row r="840" spans="13:24" ht="14.25" customHeight="1">
      <c r="M840" s="36"/>
      <c r="N840" s="37"/>
      <c r="R840" s="36"/>
      <c r="S840" s="38"/>
      <c r="T840" s="39"/>
      <c r="U840" s="40"/>
      <c r="W840" s="41"/>
      <c r="X840" s="42"/>
    </row>
    <row r="841" spans="13:24" ht="14.25" customHeight="1">
      <c r="M841" s="36"/>
      <c r="N841" s="37"/>
      <c r="R841" s="36"/>
      <c r="S841" s="38"/>
      <c r="T841" s="39"/>
      <c r="U841" s="40"/>
      <c r="W841" s="41"/>
      <c r="X841" s="42"/>
    </row>
    <row r="842" spans="13:24" ht="14.25" customHeight="1">
      <c r="M842" s="36"/>
      <c r="N842" s="37"/>
      <c r="R842" s="36"/>
      <c r="S842" s="38"/>
      <c r="T842" s="39"/>
      <c r="U842" s="40"/>
      <c r="W842" s="41"/>
      <c r="X842" s="42"/>
    </row>
    <row r="843" spans="13:24" ht="14.25" customHeight="1">
      <c r="M843" s="36"/>
      <c r="N843" s="37"/>
      <c r="R843" s="36"/>
      <c r="S843" s="38"/>
      <c r="T843" s="39"/>
      <c r="U843" s="40"/>
      <c r="W843" s="41"/>
      <c r="X843" s="42"/>
    </row>
    <row r="844" spans="13:24" ht="14.25" customHeight="1">
      <c r="M844" s="36"/>
      <c r="N844" s="37"/>
      <c r="R844" s="36"/>
      <c r="S844" s="38"/>
      <c r="T844" s="39"/>
      <c r="U844" s="40"/>
      <c r="W844" s="41"/>
      <c r="X844" s="42"/>
    </row>
    <row r="845" spans="13:24" ht="14.25" customHeight="1">
      <c r="M845" s="36"/>
      <c r="N845" s="37"/>
      <c r="R845" s="36"/>
      <c r="S845" s="38"/>
      <c r="T845" s="39"/>
      <c r="U845" s="40"/>
      <c r="W845" s="41"/>
      <c r="X845" s="42"/>
    </row>
    <row r="846" spans="13:24" ht="14.25" customHeight="1">
      <c r="M846" s="36"/>
      <c r="N846" s="37"/>
      <c r="R846" s="36"/>
      <c r="S846" s="38"/>
      <c r="T846" s="39"/>
      <c r="U846" s="40"/>
      <c r="W846" s="41"/>
      <c r="X846" s="42"/>
    </row>
    <row r="847" spans="13:24" ht="14.25" customHeight="1">
      <c r="M847" s="36"/>
      <c r="N847" s="37"/>
      <c r="R847" s="36"/>
      <c r="S847" s="38"/>
      <c r="T847" s="39"/>
      <c r="U847" s="40"/>
      <c r="W847" s="41"/>
      <c r="X847" s="42"/>
    </row>
    <row r="848" spans="13:24" ht="14.25" customHeight="1">
      <c r="M848" s="36"/>
      <c r="N848" s="37"/>
      <c r="R848" s="36"/>
      <c r="S848" s="38"/>
      <c r="T848" s="39"/>
      <c r="U848" s="40"/>
      <c r="W848" s="41"/>
      <c r="X848" s="42"/>
    </row>
    <row r="849" spans="13:24" ht="14.25" customHeight="1">
      <c r="M849" s="36"/>
      <c r="N849" s="37"/>
      <c r="R849" s="36"/>
      <c r="S849" s="38"/>
      <c r="T849" s="39"/>
      <c r="U849" s="40"/>
      <c r="W849" s="41"/>
      <c r="X849" s="42"/>
    </row>
    <row r="850" spans="13:24" ht="14.25" customHeight="1">
      <c r="M850" s="36"/>
      <c r="N850" s="37"/>
      <c r="R850" s="36"/>
      <c r="S850" s="38"/>
      <c r="T850" s="39"/>
      <c r="U850" s="40"/>
      <c r="W850" s="41"/>
      <c r="X850" s="42"/>
    </row>
    <row r="851" spans="13:24" ht="14.25" customHeight="1">
      <c r="M851" s="36"/>
      <c r="N851" s="37"/>
      <c r="R851" s="36"/>
      <c r="S851" s="38"/>
      <c r="T851" s="39"/>
      <c r="U851" s="40"/>
      <c r="W851" s="41"/>
      <c r="X851" s="42"/>
    </row>
    <row r="852" spans="13:24" ht="14.25" customHeight="1">
      <c r="M852" s="36"/>
      <c r="N852" s="37"/>
      <c r="R852" s="36"/>
      <c r="S852" s="38"/>
      <c r="T852" s="39"/>
      <c r="U852" s="40"/>
      <c r="W852" s="41"/>
      <c r="X852" s="42"/>
    </row>
    <row r="853" spans="13:24" ht="14.25" customHeight="1">
      <c r="M853" s="36"/>
      <c r="N853" s="37"/>
      <c r="R853" s="36"/>
      <c r="S853" s="38"/>
      <c r="T853" s="39"/>
      <c r="U853" s="40"/>
      <c r="W853" s="41"/>
      <c r="X853" s="42"/>
    </row>
    <row r="854" spans="13:24" ht="14.25" customHeight="1">
      <c r="M854" s="36"/>
      <c r="N854" s="37"/>
      <c r="R854" s="36"/>
      <c r="S854" s="38"/>
      <c r="T854" s="39"/>
      <c r="U854" s="40"/>
      <c r="W854" s="41"/>
      <c r="X854" s="42"/>
    </row>
    <row r="855" spans="13:24" ht="14.25" customHeight="1">
      <c r="M855" s="36"/>
      <c r="N855" s="37"/>
      <c r="R855" s="36"/>
      <c r="S855" s="38"/>
      <c r="T855" s="39"/>
      <c r="U855" s="40"/>
      <c r="W855" s="41"/>
      <c r="X855" s="42"/>
    </row>
    <row r="856" spans="13:24" ht="14.25" customHeight="1">
      <c r="M856" s="36"/>
      <c r="N856" s="37"/>
      <c r="R856" s="36"/>
      <c r="S856" s="38"/>
      <c r="T856" s="39"/>
      <c r="U856" s="40"/>
      <c r="W856" s="41"/>
      <c r="X856" s="42"/>
    </row>
    <row r="857" spans="13:24" ht="14.25" customHeight="1">
      <c r="M857" s="36"/>
      <c r="N857" s="37"/>
      <c r="R857" s="36"/>
      <c r="S857" s="38"/>
      <c r="T857" s="39"/>
      <c r="U857" s="40"/>
      <c r="W857" s="41"/>
      <c r="X857" s="42"/>
    </row>
    <row r="858" spans="13:24" ht="14.25" customHeight="1">
      <c r="M858" s="36"/>
      <c r="N858" s="37"/>
      <c r="R858" s="36"/>
      <c r="S858" s="38"/>
      <c r="T858" s="39"/>
      <c r="U858" s="40"/>
      <c r="W858" s="41"/>
      <c r="X858" s="42"/>
    </row>
    <row r="859" spans="13:24" ht="14.25" customHeight="1">
      <c r="M859" s="36"/>
      <c r="N859" s="37"/>
      <c r="R859" s="36"/>
      <c r="S859" s="38"/>
      <c r="T859" s="39"/>
      <c r="U859" s="40"/>
      <c r="W859" s="41"/>
      <c r="X859" s="42"/>
    </row>
    <row r="860" spans="13:24" ht="14.25" customHeight="1">
      <c r="M860" s="36"/>
      <c r="N860" s="37"/>
      <c r="R860" s="36"/>
      <c r="S860" s="38"/>
      <c r="T860" s="39"/>
      <c r="U860" s="40"/>
      <c r="W860" s="41"/>
      <c r="X860" s="42"/>
    </row>
    <row r="861" spans="13:24" ht="14.25" customHeight="1">
      <c r="M861" s="36"/>
      <c r="N861" s="37"/>
      <c r="R861" s="36"/>
      <c r="S861" s="38"/>
      <c r="T861" s="39"/>
      <c r="U861" s="40"/>
      <c r="W861" s="41"/>
      <c r="X861" s="42"/>
    </row>
    <row r="862" spans="13:24" ht="14.25" customHeight="1">
      <c r="M862" s="36"/>
      <c r="N862" s="37"/>
      <c r="R862" s="36"/>
      <c r="S862" s="38"/>
      <c r="T862" s="39"/>
      <c r="U862" s="40"/>
      <c r="W862" s="41"/>
      <c r="X862" s="42"/>
    </row>
    <row r="863" spans="13:24" ht="14.25" customHeight="1">
      <c r="M863" s="36"/>
      <c r="N863" s="37"/>
      <c r="R863" s="36"/>
      <c r="S863" s="38"/>
      <c r="T863" s="39"/>
      <c r="U863" s="40"/>
      <c r="W863" s="41"/>
      <c r="X863" s="42"/>
    </row>
    <row r="864" spans="13:24" ht="14.25" customHeight="1">
      <c r="M864" s="36"/>
      <c r="N864" s="37"/>
      <c r="R864" s="36"/>
      <c r="S864" s="38"/>
      <c r="T864" s="39"/>
      <c r="U864" s="40"/>
      <c r="W864" s="41"/>
      <c r="X864" s="42"/>
    </row>
    <row r="865" spans="13:24" ht="14.25" customHeight="1">
      <c r="M865" s="36"/>
      <c r="N865" s="37"/>
      <c r="R865" s="36"/>
      <c r="S865" s="38"/>
      <c r="T865" s="39"/>
      <c r="U865" s="40"/>
      <c r="W865" s="41"/>
      <c r="X865" s="42"/>
    </row>
    <row r="866" spans="13:24" ht="14.25" customHeight="1">
      <c r="M866" s="36"/>
      <c r="N866" s="37"/>
      <c r="R866" s="36"/>
      <c r="S866" s="38"/>
      <c r="T866" s="39"/>
      <c r="U866" s="40"/>
      <c r="W866" s="41"/>
      <c r="X866" s="42"/>
    </row>
    <row r="867" spans="13:24" ht="14.25" customHeight="1">
      <c r="M867" s="36"/>
      <c r="N867" s="37"/>
      <c r="R867" s="36"/>
      <c r="S867" s="38"/>
      <c r="T867" s="39"/>
      <c r="U867" s="40"/>
      <c r="W867" s="41"/>
      <c r="X867" s="42"/>
    </row>
    <row r="868" spans="13:24" ht="14.25" customHeight="1">
      <c r="M868" s="36"/>
      <c r="N868" s="37"/>
      <c r="R868" s="36"/>
      <c r="S868" s="38"/>
      <c r="T868" s="39"/>
      <c r="U868" s="40"/>
      <c r="W868" s="41"/>
      <c r="X868" s="42"/>
    </row>
    <row r="869" spans="13:24" ht="14.25" customHeight="1">
      <c r="M869" s="36"/>
      <c r="N869" s="37"/>
      <c r="R869" s="36"/>
      <c r="S869" s="38"/>
      <c r="T869" s="39"/>
      <c r="U869" s="40"/>
      <c r="W869" s="41"/>
      <c r="X869" s="42"/>
    </row>
    <row r="870" spans="13:24" ht="14.25" customHeight="1">
      <c r="M870" s="36"/>
      <c r="N870" s="37"/>
      <c r="R870" s="36"/>
      <c r="S870" s="38"/>
      <c r="T870" s="39"/>
      <c r="U870" s="40"/>
      <c r="W870" s="41"/>
      <c r="X870" s="42"/>
    </row>
    <row r="871" spans="13:24" ht="14.25" customHeight="1">
      <c r="M871" s="36"/>
      <c r="N871" s="37"/>
      <c r="R871" s="36"/>
      <c r="S871" s="38"/>
      <c r="T871" s="39"/>
      <c r="U871" s="40"/>
      <c r="W871" s="41"/>
      <c r="X871" s="42"/>
    </row>
    <row r="872" spans="13:24" ht="14.25" customHeight="1">
      <c r="M872" s="36"/>
      <c r="N872" s="37"/>
      <c r="R872" s="36"/>
      <c r="S872" s="38"/>
      <c r="T872" s="39"/>
      <c r="U872" s="40"/>
      <c r="W872" s="41"/>
      <c r="X872" s="42"/>
    </row>
    <row r="873" spans="13:24" ht="14.25" customHeight="1">
      <c r="M873" s="36"/>
      <c r="N873" s="37"/>
      <c r="R873" s="36"/>
      <c r="S873" s="38"/>
      <c r="T873" s="39"/>
      <c r="U873" s="40"/>
      <c r="W873" s="41"/>
      <c r="X873" s="42"/>
    </row>
    <row r="874" spans="13:24" ht="14.25" customHeight="1">
      <c r="M874" s="36"/>
      <c r="N874" s="37"/>
      <c r="R874" s="36"/>
      <c r="S874" s="38"/>
      <c r="T874" s="39"/>
      <c r="U874" s="40"/>
      <c r="W874" s="41"/>
      <c r="X874" s="42"/>
    </row>
    <row r="875" spans="13:24" ht="14.25" customHeight="1">
      <c r="M875" s="36"/>
      <c r="N875" s="37"/>
      <c r="R875" s="36"/>
      <c r="S875" s="38"/>
      <c r="T875" s="39"/>
      <c r="U875" s="40"/>
      <c r="W875" s="41"/>
      <c r="X875" s="42"/>
    </row>
    <row r="876" spans="13:24" ht="14.25" customHeight="1">
      <c r="M876" s="36"/>
      <c r="N876" s="37"/>
      <c r="R876" s="36"/>
      <c r="S876" s="38"/>
      <c r="T876" s="39"/>
      <c r="U876" s="40"/>
      <c r="W876" s="41"/>
      <c r="X876" s="42"/>
    </row>
    <row r="877" spans="13:24" ht="14.25" customHeight="1">
      <c r="M877" s="36"/>
      <c r="N877" s="37"/>
      <c r="R877" s="36"/>
      <c r="S877" s="38"/>
      <c r="T877" s="39"/>
      <c r="U877" s="40"/>
      <c r="W877" s="41"/>
      <c r="X877" s="42"/>
    </row>
    <row r="878" spans="13:24" ht="14.25" customHeight="1">
      <c r="M878" s="36"/>
      <c r="N878" s="37"/>
      <c r="R878" s="36"/>
      <c r="S878" s="38"/>
      <c r="T878" s="39"/>
      <c r="U878" s="40"/>
      <c r="W878" s="41"/>
      <c r="X878" s="42"/>
    </row>
    <row r="879" spans="13:24" ht="14.25" customHeight="1">
      <c r="M879" s="36"/>
      <c r="N879" s="37"/>
      <c r="R879" s="36"/>
      <c r="S879" s="38"/>
      <c r="T879" s="39"/>
      <c r="U879" s="40"/>
      <c r="W879" s="41"/>
      <c r="X879" s="42"/>
    </row>
    <row r="880" spans="13:24" ht="14.25" customHeight="1">
      <c r="M880" s="36"/>
      <c r="N880" s="37"/>
      <c r="R880" s="36"/>
      <c r="S880" s="38"/>
      <c r="T880" s="39"/>
      <c r="U880" s="40"/>
      <c r="W880" s="41"/>
      <c r="X880" s="42"/>
    </row>
    <row r="881" spans="13:24" ht="14.25" customHeight="1">
      <c r="M881" s="36"/>
      <c r="N881" s="37"/>
      <c r="R881" s="36"/>
      <c r="S881" s="38"/>
      <c r="T881" s="39"/>
      <c r="U881" s="40"/>
      <c r="W881" s="41"/>
      <c r="X881" s="42"/>
    </row>
    <row r="882" spans="13:24" ht="14.25" customHeight="1">
      <c r="M882" s="36"/>
      <c r="N882" s="37"/>
      <c r="R882" s="36"/>
      <c r="S882" s="38"/>
      <c r="T882" s="39"/>
      <c r="U882" s="40"/>
      <c r="W882" s="41"/>
      <c r="X882" s="42"/>
    </row>
    <row r="883" spans="13:24" ht="14.25" customHeight="1">
      <c r="M883" s="36"/>
      <c r="N883" s="37"/>
      <c r="R883" s="36"/>
      <c r="S883" s="38"/>
      <c r="T883" s="39"/>
      <c r="U883" s="40"/>
      <c r="W883" s="41"/>
      <c r="X883" s="42"/>
    </row>
    <row r="884" spans="13:24" ht="14.25" customHeight="1">
      <c r="M884" s="36"/>
      <c r="N884" s="37"/>
      <c r="R884" s="36"/>
      <c r="S884" s="38"/>
      <c r="T884" s="39"/>
      <c r="U884" s="40"/>
      <c r="W884" s="41"/>
      <c r="X884" s="42"/>
    </row>
    <row r="885" spans="13:24" ht="14.25" customHeight="1">
      <c r="M885" s="36"/>
      <c r="N885" s="37"/>
      <c r="R885" s="36"/>
      <c r="S885" s="38"/>
      <c r="T885" s="39"/>
      <c r="U885" s="40"/>
      <c r="W885" s="41"/>
      <c r="X885" s="42"/>
    </row>
    <row r="886" spans="13:24" ht="14.25" customHeight="1">
      <c r="M886" s="36"/>
      <c r="N886" s="37"/>
      <c r="R886" s="36"/>
      <c r="S886" s="38"/>
      <c r="T886" s="39"/>
      <c r="U886" s="40"/>
      <c r="W886" s="41"/>
      <c r="X886" s="42"/>
    </row>
    <row r="887" spans="13:24" ht="14.25" customHeight="1">
      <c r="M887" s="36"/>
      <c r="N887" s="37"/>
      <c r="R887" s="36"/>
      <c r="S887" s="38"/>
      <c r="T887" s="39"/>
      <c r="U887" s="40"/>
      <c r="W887" s="41"/>
      <c r="X887" s="42"/>
    </row>
    <row r="888" spans="13:24" ht="14.25" customHeight="1">
      <c r="M888" s="36"/>
      <c r="N888" s="37"/>
      <c r="R888" s="36"/>
      <c r="S888" s="38"/>
      <c r="T888" s="39"/>
      <c r="U888" s="40"/>
      <c r="W888" s="41"/>
      <c r="X888" s="42"/>
    </row>
    <row r="889" spans="13:24" ht="14.25" customHeight="1">
      <c r="M889" s="36"/>
      <c r="N889" s="37"/>
      <c r="R889" s="36"/>
      <c r="S889" s="38"/>
      <c r="T889" s="39"/>
      <c r="U889" s="40"/>
      <c r="W889" s="41"/>
      <c r="X889" s="42"/>
    </row>
    <row r="890" spans="13:24" ht="14.25" customHeight="1">
      <c r="M890" s="36"/>
      <c r="N890" s="37"/>
      <c r="R890" s="36"/>
      <c r="S890" s="38"/>
      <c r="T890" s="39"/>
      <c r="U890" s="40"/>
      <c r="W890" s="41"/>
      <c r="X890" s="42"/>
    </row>
    <row r="891" spans="13:24" ht="14.25" customHeight="1">
      <c r="M891" s="36"/>
      <c r="N891" s="37"/>
      <c r="R891" s="36"/>
      <c r="S891" s="38"/>
      <c r="T891" s="39"/>
      <c r="U891" s="40"/>
      <c r="W891" s="41"/>
      <c r="X891" s="42"/>
    </row>
    <row r="892" spans="13:24" ht="14.25" customHeight="1">
      <c r="M892" s="36"/>
      <c r="N892" s="37"/>
      <c r="R892" s="36"/>
      <c r="S892" s="38"/>
      <c r="T892" s="39"/>
      <c r="U892" s="40"/>
      <c r="W892" s="41"/>
      <c r="X892" s="42"/>
    </row>
    <row r="893" spans="13:24" ht="14.25" customHeight="1">
      <c r="M893" s="36"/>
      <c r="N893" s="37"/>
      <c r="R893" s="36"/>
      <c r="S893" s="38"/>
      <c r="T893" s="39"/>
      <c r="U893" s="40"/>
      <c r="W893" s="41"/>
      <c r="X893" s="42"/>
    </row>
    <row r="894" spans="13:24" ht="14.25" customHeight="1">
      <c r="M894" s="36"/>
      <c r="N894" s="37"/>
      <c r="R894" s="36"/>
      <c r="S894" s="38"/>
      <c r="T894" s="39"/>
      <c r="U894" s="40"/>
      <c r="W894" s="41"/>
      <c r="X894" s="42"/>
    </row>
    <row r="895" spans="13:24" ht="14.25" customHeight="1">
      <c r="M895" s="36"/>
      <c r="N895" s="37"/>
      <c r="R895" s="36"/>
      <c r="S895" s="38"/>
      <c r="T895" s="39"/>
      <c r="U895" s="40"/>
      <c r="W895" s="41"/>
      <c r="X895" s="42"/>
    </row>
    <row r="896" spans="13:24" ht="14.25" customHeight="1">
      <c r="M896" s="36"/>
      <c r="N896" s="37"/>
      <c r="R896" s="36"/>
      <c r="S896" s="38"/>
      <c r="T896" s="39"/>
      <c r="U896" s="40"/>
      <c r="W896" s="41"/>
      <c r="X896" s="42"/>
    </row>
    <row r="897" spans="13:24" ht="14.25" customHeight="1">
      <c r="M897" s="36"/>
      <c r="N897" s="37"/>
      <c r="R897" s="36"/>
      <c r="S897" s="38"/>
      <c r="T897" s="39"/>
      <c r="U897" s="40"/>
      <c r="W897" s="41"/>
      <c r="X897" s="42"/>
    </row>
    <row r="898" spans="13:24" ht="14.25" customHeight="1">
      <c r="M898" s="36"/>
      <c r="N898" s="37"/>
      <c r="R898" s="36"/>
      <c r="S898" s="38"/>
      <c r="T898" s="39"/>
      <c r="U898" s="40"/>
      <c r="W898" s="41"/>
      <c r="X898" s="42"/>
    </row>
    <row r="899" spans="13:24" ht="14.25" customHeight="1">
      <c r="M899" s="36"/>
      <c r="N899" s="37"/>
      <c r="R899" s="36"/>
      <c r="S899" s="38"/>
      <c r="T899" s="39"/>
      <c r="U899" s="40"/>
      <c r="W899" s="41"/>
      <c r="X899" s="42"/>
    </row>
    <row r="900" spans="13:24" ht="14.25" customHeight="1">
      <c r="M900" s="36"/>
      <c r="N900" s="37"/>
      <c r="R900" s="36"/>
      <c r="S900" s="38"/>
      <c r="T900" s="39"/>
      <c r="U900" s="40"/>
      <c r="W900" s="41"/>
      <c r="X900" s="42"/>
    </row>
    <row r="901" spans="13:24" ht="14.25" customHeight="1">
      <c r="M901" s="36"/>
      <c r="N901" s="37"/>
      <c r="R901" s="36"/>
      <c r="S901" s="38"/>
      <c r="T901" s="39"/>
      <c r="U901" s="40"/>
      <c r="W901" s="41"/>
      <c r="X901" s="42"/>
    </row>
    <row r="902" spans="13:24" ht="14.25" customHeight="1">
      <c r="M902" s="36"/>
      <c r="N902" s="37"/>
      <c r="R902" s="36"/>
      <c r="S902" s="38"/>
      <c r="T902" s="39"/>
      <c r="U902" s="40"/>
      <c r="W902" s="41"/>
      <c r="X902" s="42"/>
    </row>
    <row r="903" spans="13:24" ht="14.25" customHeight="1">
      <c r="M903" s="36"/>
      <c r="N903" s="37"/>
      <c r="R903" s="36"/>
      <c r="S903" s="38"/>
      <c r="T903" s="39"/>
      <c r="U903" s="40"/>
      <c r="W903" s="41"/>
      <c r="X903" s="42"/>
    </row>
    <row r="904" spans="13:24" ht="14.25" customHeight="1">
      <c r="M904" s="36"/>
      <c r="N904" s="37"/>
      <c r="R904" s="36"/>
      <c r="S904" s="38"/>
      <c r="T904" s="39"/>
      <c r="U904" s="40"/>
      <c r="W904" s="41"/>
      <c r="X904" s="42"/>
    </row>
    <row r="905" spans="13:24" ht="14.25" customHeight="1">
      <c r="M905" s="36"/>
      <c r="N905" s="37"/>
      <c r="R905" s="36"/>
      <c r="S905" s="38"/>
      <c r="T905" s="39"/>
      <c r="U905" s="40"/>
      <c r="W905" s="41"/>
      <c r="X905" s="42"/>
    </row>
    <row r="906" spans="13:24" ht="14.25" customHeight="1">
      <c r="M906" s="36"/>
      <c r="N906" s="37"/>
      <c r="R906" s="36"/>
      <c r="S906" s="38"/>
      <c r="T906" s="39"/>
      <c r="U906" s="40"/>
      <c r="W906" s="41"/>
      <c r="X906" s="42"/>
    </row>
    <row r="907" spans="13:24" ht="14.25" customHeight="1">
      <c r="M907" s="36"/>
      <c r="N907" s="37"/>
      <c r="R907" s="36"/>
      <c r="S907" s="38"/>
      <c r="T907" s="39"/>
      <c r="U907" s="40"/>
      <c r="W907" s="41"/>
      <c r="X907" s="42"/>
    </row>
    <row r="908" spans="13:24" ht="14.25" customHeight="1">
      <c r="M908" s="36"/>
      <c r="N908" s="37"/>
      <c r="R908" s="36"/>
      <c r="S908" s="38"/>
      <c r="T908" s="39"/>
      <c r="U908" s="40"/>
      <c r="W908" s="41"/>
      <c r="X908" s="42"/>
    </row>
    <row r="909" spans="13:24" ht="14.25" customHeight="1">
      <c r="M909" s="36"/>
      <c r="N909" s="37"/>
      <c r="R909" s="36"/>
      <c r="S909" s="38"/>
      <c r="T909" s="39"/>
      <c r="U909" s="40"/>
      <c r="W909" s="41"/>
      <c r="X909" s="42"/>
    </row>
    <row r="910" spans="13:24" ht="14.25" customHeight="1">
      <c r="M910" s="36"/>
      <c r="N910" s="37"/>
      <c r="R910" s="36"/>
      <c r="S910" s="38"/>
      <c r="T910" s="39"/>
      <c r="U910" s="40"/>
      <c r="W910" s="41"/>
      <c r="X910" s="42"/>
    </row>
    <row r="911" spans="13:24" ht="14.25" customHeight="1">
      <c r="M911" s="36"/>
      <c r="N911" s="37"/>
      <c r="R911" s="36"/>
      <c r="S911" s="38"/>
      <c r="T911" s="39"/>
      <c r="U911" s="40"/>
      <c r="W911" s="41"/>
      <c r="X911" s="42"/>
    </row>
    <row r="912" spans="13:24" ht="14.25" customHeight="1">
      <c r="M912" s="36"/>
      <c r="N912" s="37"/>
      <c r="R912" s="36"/>
      <c r="S912" s="38"/>
      <c r="T912" s="39"/>
      <c r="U912" s="40"/>
      <c r="W912" s="41"/>
      <c r="X912" s="42"/>
    </row>
    <row r="913" spans="13:24" ht="14.25" customHeight="1">
      <c r="M913" s="36"/>
      <c r="N913" s="37"/>
      <c r="R913" s="36"/>
      <c r="S913" s="38"/>
      <c r="T913" s="39"/>
      <c r="U913" s="40"/>
      <c r="W913" s="41"/>
      <c r="X913" s="42"/>
    </row>
    <row r="914" spans="13:24" ht="14.25" customHeight="1">
      <c r="M914" s="36"/>
      <c r="N914" s="37"/>
      <c r="R914" s="36"/>
      <c r="S914" s="38"/>
      <c r="T914" s="39"/>
      <c r="U914" s="40"/>
      <c r="W914" s="41"/>
      <c r="X914" s="42"/>
    </row>
    <row r="915" spans="13:24" ht="14.25" customHeight="1">
      <c r="M915" s="36"/>
      <c r="N915" s="37"/>
      <c r="R915" s="36"/>
      <c r="S915" s="38"/>
      <c r="T915" s="39"/>
      <c r="U915" s="40"/>
      <c r="W915" s="41"/>
      <c r="X915" s="42"/>
    </row>
    <row r="916" spans="13:24" ht="14.25" customHeight="1">
      <c r="M916" s="36"/>
      <c r="N916" s="37"/>
      <c r="R916" s="36"/>
      <c r="S916" s="38"/>
      <c r="T916" s="39"/>
      <c r="U916" s="40"/>
      <c r="W916" s="41"/>
      <c r="X916" s="42"/>
    </row>
    <row r="917" spans="13:24" ht="14.25" customHeight="1">
      <c r="M917" s="36"/>
      <c r="N917" s="37"/>
      <c r="R917" s="36"/>
      <c r="S917" s="38"/>
      <c r="T917" s="39"/>
      <c r="U917" s="40"/>
      <c r="W917" s="41"/>
      <c r="X917" s="42"/>
    </row>
    <row r="918" spans="13:24" ht="14.25" customHeight="1">
      <c r="M918" s="36"/>
      <c r="N918" s="37"/>
      <c r="R918" s="36"/>
      <c r="S918" s="38"/>
      <c r="T918" s="39"/>
      <c r="U918" s="40"/>
      <c r="W918" s="41"/>
      <c r="X918" s="42"/>
    </row>
    <row r="919" spans="13:24" ht="14.25" customHeight="1">
      <c r="M919" s="36"/>
      <c r="N919" s="37"/>
      <c r="R919" s="36"/>
      <c r="S919" s="38"/>
      <c r="T919" s="39"/>
      <c r="U919" s="40"/>
      <c r="W919" s="41"/>
      <c r="X919" s="42"/>
    </row>
    <row r="920" spans="13:24" ht="14.25" customHeight="1">
      <c r="M920" s="36"/>
      <c r="N920" s="37"/>
      <c r="R920" s="36"/>
      <c r="S920" s="38"/>
      <c r="T920" s="39"/>
      <c r="U920" s="40"/>
      <c r="W920" s="41"/>
      <c r="X920" s="42"/>
    </row>
    <row r="921" spans="13:24" ht="14.25" customHeight="1">
      <c r="M921" s="36"/>
      <c r="N921" s="37"/>
      <c r="R921" s="36"/>
      <c r="S921" s="38"/>
      <c r="T921" s="39"/>
      <c r="U921" s="40"/>
      <c r="W921" s="41"/>
      <c r="X921" s="42"/>
    </row>
    <row r="922" spans="13:24" ht="14.25" customHeight="1">
      <c r="M922" s="36"/>
      <c r="N922" s="37"/>
      <c r="R922" s="36"/>
      <c r="S922" s="38"/>
      <c r="T922" s="39"/>
      <c r="U922" s="40"/>
      <c r="W922" s="41"/>
      <c r="X922" s="42"/>
    </row>
    <row r="923" spans="13:24" ht="14.25" customHeight="1">
      <c r="M923" s="36"/>
      <c r="N923" s="37"/>
      <c r="R923" s="36"/>
      <c r="S923" s="38"/>
      <c r="T923" s="39"/>
      <c r="U923" s="40"/>
      <c r="W923" s="41"/>
      <c r="X923" s="42"/>
    </row>
    <row r="924" spans="13:24" ht="14.25" customHeight="1">
      <c r="M924" s="36"/>
      <c r="N924" s="37"/>
      <c r="R924" s="36"/>
      <c r="S924" s="38"/>
      <c r="T924" s="39"/>
      <c r="U924" s="40"/>
      <c r="W924" s="41"/>
      <c r="X924" s="42"/>
    </row>
    <row r="925" spans="13:24" ht="14.25" customHeight="1">
      <c r="M925" s="36"/>
      <c r="N925" s="37"/>
      <c r="R925" s="36"/>
      <c r="S925" s="38"/>
      <c r="T925" s="39"/>
      <c r="U925" s="40"/>
      <c r="W925" s="41"/>
      <c r="X925" s="42"/>
    </row>
    <row r="926" spans="13:24" ht="14.25" customHeight="1">
      <c r="M926" s="36"/>
      <c r="N926" s="37"/>
      <c r="R926" s="36"/>
      <c r="S926" s="38"/>
      <c r="T926" s="39"/>
      <c r="U926" s="40"/>
      <c r="W926" s="41"/>
      <c r="X926" s="42"/>
    </row>
    <row r="927" spans="13:24" ht="14.25" customHeight="1">
      <c r="M927" s="36"/>
      <c r="N927" s="37"/>
      <c r="R927" s="36"/>
      <c r="S927" s="38"/>
      <c r="T927" s="39"/>
      <c r="U927" s="40"/>
      <c r="W927" s="41"/>
      <c r="X927" s="42"/>
    </row>
    <row r="928" spans="13:24" ht="14.25" customHeight="1">
      <c r="M928" s="36"/>
      <c r="N928" s="37"/>
      <c r="R928" s="36"/>
      <c r="S928" s="38"/>
      <c r="T928" s="39"/>
      <c r="U928" s="40"/>
      <c r="W928" s="41"/>
      <c r="X928" s="42"/>
    </row>
    <row r="929" spans="13:24" ht="14.25" customHeight="1">
      <c r="M929" s="36"/>
      <c r="N929" s="37"/>
      <c r="R929" s="36"/>
      <c r="S929" s="38"/>
      <c r="T929" s="39"/>
      <c r="U929" s="40"/>
      <c r="W929" s="41"/>
      <c r="X929" s="42"/>
    </row>
    <row r="930" spans="13:24" ht="14.25" customHeight="1">
      <c r="M930" s="36"/>
      <c r="N930" s="37"/>
      <c r="R930" s="36"/>
      <c r="S930" s="38"/>
      <c r="T930" s="39"/>
      <c r="U930" s="40"/>
      <c r="W930" s="41"/>
      <c r="X930" s="42"/>
    </row>
    <row r="931" spans="13:24" ht="14.25" customHeight="1">
      <c r="M931" s="36"/>
      <c r="N931" s="37"/>
      <c r="R931" s="36"/>
      <c r="S931" s="38"/>
      <c r="T931" s="39"/>
      <c r="U931" s="40"/>
      <c r="W931" s="41"/>
      <c r="X931" s="42"/>
    </row>
    <row r="932" spans="13:24" ht="14.25" customHeight="1">
      <c r="M932" s="36"/>
      <c r="N932" s="37"/>
      <c r="R932" s="36"/>
      <c r="S932" s="38"/>
      <c r="T932" s="39"/>
      <c r="U932" s="40"/>
      <c r="W932" s="41"/>
      <c r="X932" s="42"/>
    </row>
    <row r="933" spans="13:24" ht="14.25" customHeight="1">
      <c r="M933" s="36"/>
      <c r="N933" s="37"/>
      <c r="R933" s="36"/>
      <c r="S933" s="38"/>
      <c r="T933" s="39"/>
      <c r="U933" s="40"/>
      <c r="W933" s="41"/>
      <c r="X933" s="42"/>
    </row>
    <row r="934" spans="13:24" ht="14.25" customHeight="1">
      <c r="M934" s="36"/>
      <c r="N934" s="37"/>
      <c r="R934" s="36"/>
      <c r="S934" s="38"/>
      <c r="T934" s="39"/>
      <c r="U934" s="40"/>
      <c r="W934" s="41"/>
      <c r="X934" s="42"/>
    </row>
    <row r="935" spans="13:24" ht="14.25" customHeight="1">
      <c r="M935" s="36"/>
      <c r="N935" s="37"/>
      <c r="R935" s="36"/>
      <c r="S935" s="38"/>
      <c r="T935" s="39"/>
      <c r="U935" s="40"/>
      <c r="W935" s="41"/>
      <c r="X935" s="42"/>
    </row>
    <row r="936" spans="13:24" ht="14.25" customHeight="1">
      <c r="M936" s="36"/>
      <c r="N936" s="37"/>
      <c r="R936" s="36"/>
      <c r="S936" s="38"/>
      <c r="T936" s="39"/>
      <c r="U936" s="40"/>
      <c r="W936" s="41"/>
      <c r="X936" s="42"/>
    </row>
    <row r="937" spans="13:24" ht="14.25" customHeight="1">
      <c r="M937" s="36"/>
      <c r="N937" s="37"/>
      <c r="R937" s="36"/>
      <c r="S937" s="38"/>
      <c r="T937" s="39"/>
      <c r="U937" s="40"/>
      <c r="W937" s="41"/>
      <c r="X937" s="42"/>
    </row>
    <row r="938" spans="13:24" ht="14.25" customHeight="1">
      <c r="M938" s="36"/>
      <c r="N938" s="37"/>
      <c r="R938" s="36"/>
      <c r="S938" s="38"/>
      <c r="T938" s="39"/>
      <c r="U938" s="40"/>
      <c r="W938" s="41"/>
      <c r="X938" s="42"/>
    </row>
    <row r="939" spans="13:24" ht="14.25" customHeight="1">
      <c r="M939" s="36"/>
      <c r="N939" s="37"/>
      <c r="R939" s="36"/>
      <c r="S939" s="38"/>
      <c r="T939" s="39"/>
      <c r="U939" s="40"/>
      <c r="W939" s="41"/>
      <c r="X939" s="42"/>
    </row>
    <row r="940" spans="13:24" ht="14.25" customHeight="1">
      <c r="M940" s="36"/>
      <c r="N940" s="37"/>
      <c r="R940" s="36"/>
      <c r="S940" s="38"/>
      <c r="T940" s="39"/>
      <c r="U940" s="40"/>
      <c r="W940" s="41"/>
      <c r="X940" s="42"/>
    </row>
    <row r="941" spans="13:24" ht="14.25" customHeight="1">
      <c r="M941" s="36"/>
      <c r="N941" s="37"/>
      <c r="R941" s="36"/>
      <c r="S941" s="38"/>
      <c r="T941" s="39"/>
      <c r="U941" s="40"/>
      <c r="W941" s="41"/>
      <c r="X941" s="42"/>
    </row>
    <row r="942" spans="13:24" ht="14.25" customHeight="1">
      <c r="M942" s="36"/>
      <c r="N942" s="37"/>
      <c r="R942" s="36"/>
      <c r="S942" s="38"/>
      <c r="T942" s="39"/>
      <c r="U942" s="40"/>
      <c r="W942" s="41"/>
      <c r="X942" s="42"/>
    </row>
    <row r="943" spans="13:24" ht="14.25" customHeight="1">
      <c r="M943" s="36"/>
      <c r="N943" s="37"/>
      <c r="R943" s="36"/>
      <c r="S943" s="38"/>
      <c r="T943" s="39"/>
      <c r="U943" s="40"/>
      <c r="W943" s="41"/>
      <c r="X943" s="42"/>
    </row>
    <row r="944" spans="13:24" ht="14.25" customHeight="1">
      <c r="M944" s="36"/>
      <c r="N944" s="37"/>
      <c r="R944" s="36"/>
      <c r="S944" s="38"/>
      <c r="T944" s="39"/>
      <c r="U944" s="40"/>
      <c r="W944" s="41"/>
      <c r="X944" s="42"/>
    </row>
    <row r="945" spans="13:24" ht="14.25" customHeight="1">
      <c r="M945" s="36"/>
      <c r="N945" s="37"/>
      <c r="R945" s="36"/>
      <c r="S945" s="38"/>
      <c r="T945" s="39"/>
      <c r="U945" s="40"/>
      <c r="W945" s="41"/>
      <c r="X945" s="42"/>
    </row>
    <row r="946" spans="13:24" ht="14.25" customHeight="1">
      <c r="M946" s="36"/>
      <c r="N946" s="37"/>
      <c r="R946" s="36"/>
      <c r="S946" s="38"/>
      <c r="T946" s="39"/>
      <c r="U946" s="40"/>
      <c r="W946" s="41"/>
      <c r="X946" s="42"/>
    </row>
    <row r="947" spans="13:24" ht="14.25" customHeight="1">
      <c r="M947" s="36"/>
      <c r="N947" s="37"/>
      <c r="R947" s="36"/>
      <c r="S947" s="38"/>
      <c r="T947" s="39"/>
      <c r="U947" s="40"/>
      <c r="W947" s="41"/>
      <c r="X947" s="42"/>
    </row>
    <row r="948" spans="13:24" ht="14.25" customHeight="1">
      <c r="M948" s="36"/>
      <c r="N948" s="37"/>
      <c r="R948" s="36"/>
      <c r="S948" s="38"/>
      <c r="T948" s="39"/>
      <c r="U948" s="40"/>
      <c r="W948" s="41"/>
      <c r="X948" s="42"/>
    </row>
    <row r="949" spans="13:24" ht="14.25" customHeight="1">
      <c r="M949" s="36"/>
      <c r="N949" s="37"/>
      <c r="R949" s="36"/>
      <c r="S949" s="38"/>
      <c r="T949" s="39"/>
      <c r="U949" s="40"/>
      <c r="W949" s="41"/>
      <c r="X949" s="42"/>
    </row>
    <row r="950" spans="13:24" ht="14.25" customHeight="1">
      <c r="M950" s="36"/>
      <c r="N950" s="37"/>
      <c r="R950" s="36"/>
      <c r="S950" s="38"/>
      <c r="T950" s="39"/>
      <c r="U950" s="40"/>
      <c r="W950" s="41"/>
      <c r="X950" s="42"/>
    </row>
    <row r="951" spans="13:24" ht="14.25" customHeight="1">
      <c r="M951" s="36"/>
      <c r="N951" s="37"/>
      <c r="R951" s="36"/>
      <c r="S951" s="38"/>
      <c r="T951" s="39"/>
      <c r="U951" s="40"/>
      <c r="W951" s="41"/>
      <c r="X951" s="42"/>
    </row>
    <row r="952" spans="13:24" ht="14.25" customHeight="1">
      <c r="M952" s="36"/>
      <c r="N952" s="37"/>
      <c r="R952" s="36"/>
      <c r="S952" s="38"/>
      <c r="T952" s="39"/>
      <c r="U952" s="40"/>
      <c r="W952" s="41"/>
      <c r="X952" s="42"/>
    </row>
    <row r="953" spans="13:24" ht="14.25" customHeight="1">
      <c r="M953" s="36"/>
      <c r="N953" s="37"/>
      <c r="R953" s="36"/>
      <c r="S953" s="38"/>
      <c r="T953" s="39"/>
      <c r="U953" s="40"/>
      <c r="W953" s="41"/>
      <c r="X953" s="42"/>
    </row>
    <row r="954" spans="13:24" ht="14.25" customHeight="1">
      <c r="M954" s="36"/>
      <c r="N954" s="37"/>
      <c r="R954" s="36"/>
      <c r="S954" s="38"/>
      <c r="T954" s="39"/>
      <c r="U954" s="40"/>
      <c r="W954" s="41"/>
      <c r="X954" s="42"/>
    </row>
    <row r="955" spans="13:24" ht="14.25" customHeight="1">
      <c r="M955" s="36"/>
      <c r="N955" s="37"/>
      <c r="R955" s="36"/>
      <c r="S955" s="38"/>
      <c r="T955" s="39"/>
      <c r="U955" s="40"/>
      <c r="W955" s="41"/>
      <c r="X955" s="42"/>
    </row>
    <row r="956" spans="13:24" ht="14.25" customHeight="1">
      <c r="M956" s="36"/>
      <c r="N956" s="37"/>
      <c r="R956" s="36"/>
      <c r="S956" s="38"/>
      <c r="T956" s="39"/>
      <c r="U956" s="40"/>
      <c r="W956" s="41"/>
      <c r="X956" s="42"/>
    </row>
    <row r="957" spans="13:24" ht="14.25" customHeight="1">
      <c r="M957" s="36"/>
      <c r="N957" s="37"/>
      <c r="R957" s="36"/>
      <c r="S957" s="38"/>
      <c r="T957" s="39"/>
      <c r="U957" s="40"/>
      <c r="W957" s="41"/>
      <c r="X957" s="42"/>
    </row>
    <row r="958" spans="13:24" ht="14.25" customHeight="1">
      <c r="M958" s="36"/>
      <c r="N958" s="37"/>
      <c r="R958" s="36"/>
      <c r="S958" s="38"/>
      <c r="T958" s="39"/>
      <c r="U958" s="40"/>
      <c r="W958" s="41"/>
      <c r="X958" s="42"/>
    </row>
    <row r="959" spans="13:24" ht="14.25" customHeight="1">
      <c r="M959" s="36"/>
      <c r="N959" s="37"/>
      <c r="R959" s="36"/>
      <c r="S959" s="38"/>
      <c r="T959" s="39"/>
      <c r="U959" s="40"/>
      <c r="W959" s="41"/>
      <c r="X959" s="42"/>
    </row>
    <row r="960" spans="13:24" ht="14.25" customHeight="1">
      <c r="M960" s="36"/>
      <c r="N960" s="37"/>
      <c r="R960" s="36"/>
      <c r="S960" s="38"/>
      <c r="T960" s="39"/>
      <c r="U960" s="40"/>
      <c r="W960" s="41"/>
      <c r="X960" s="42"/>
    </row>
    <row r="961" spans="13:24" ht="14.25" customHeight="1">
      <c r="M961" s="36"/>
      <c r="N961" s="37"/>
      <c r="R961" s="36"/>
      <c r="S961" s="38"/>
      <c r="T961" s="39"/>
      <c r="U961" s="40"/>
      <c r="W961" s="41"/>
      <c r="X961" s="42"/>
    </row>
    <row r="962" spans="13:24" ht="14.25" customHeight="1">
      <c r="M962" s="36"/>
      <c r="N962" s="37"/>
      <c r="R962" s="36"/>
      <c r="S962" s="38"/>
      <c r="T962" s="39"/>
      <c r="U962" s="40"/>
      <c r="W962" s="41"/>
      <c r="X962" s="42"/>
    </row>
    <row r="963" spans="13:24" ht="14.25" customHeight="1">
      <c r="M963" s="36"/>
      <c r="N963" s="37"/>
      <c r="R963" s="36"/>
      <c r="S963" s="38"/>
      <c r="T963" s="39"/>
      <c r="U963" s="40"/>
      <c r="W963" s="41"/>
      <c r="X963" s="42"/>
    </row>
    <row r="964" spans="13:24" ht="14.25" customHeight="1">
      <c r="M964" s="36"/>
      <c r="N964" s="37"/>
      <c r="R964" s="36"/>
      <c r="S964" s="38"/>
      <c r="T964" s="39"/>
      <c r="U964" s="40"/>
      <c r="W964" s="41"/>
      <c r="X964" s="42"/>
    </row>
    <row r="965" spans="13:24" ht="14.25" customHeight="1">
      <c r="M965" s="36"/>
      <c r="N965" s="37"/>
      <c r="R965" s="36"/>
      <c r="S965" s="38"/>
      <c r="T965" s="39"/>
      <c r="U965" s="40"/>
      <c r="W965" s="41"/>
      <c r="X965" s="42"/>
    </row>
    <row r="966" spans="13:24" ht="14.25" customHeight="1">
      <c r="M966" s="36"/>
      <c r="N966" s="37"/>
      <c r="R966" s="36"/>
      <c r="S966" s="38"/>
      <c r="T966" s="39"/>
      <c r="U966" s="40"/>
      <c r="W966" s="41"/>
      <c r="X966" s="42"/>
    </row>
    <row r="967" spans="13:24" ht="14.25" customHeight="1">
      <c r="M967" s="36"/>
      <c r="N967" s="37"/>
      <c r="R967" s="36"/>
      <c r="S967" s="38"/>
      <c r="T967" s="39"/>
      <c r="U967" s="40"/>
      <c r="W967" s="41"/>
      <c r="X967" s="42"/>
    </row>
    <row r="968" spans="13:24" ht="14.25" customHeight="1">
      <c r="M968" s="36"/>
      <c r="N968" s="37"/>
      <c r="R968" s="36"/>
      <c r="S968" s="38"/>
      <c r="T968" s="39"/>
      <c r="U968" s="40"/>
      <c r="W968" s="41"/>
      <c r="X968" s="42"/>
    </row>
    <row r="969" spans="13:24" ht="14.25" customHeight="1">
      <c r="M969" s="36"/>
      <c r="N969" s="37"/>
      <c r="R969" s="36"/>
      <c r="S969" s="38"/>
      <c r="T969" s="39"/>
      <c r="U969" s="40"/>
      <c r="W969" s="41"/>
      <c r="X969" s="42"/>
    </row>
    <row r="970" spans="13:24" ht="14.25" customHeight="1">
      <c r="M970" s="36"/>
      <c r="N970" s="37"/>
      <c r="R970" s="36"/>
      <c r="S970" s="38"/>
      <c r="T970" s="39"/>
      <c r="U970" s="40"/>
      <c r="W970" s="41"/>
      <c r="X970" s="42"/>
    </row>
    <row r="971" spans="13:24" ht="14.25" customHeight="1">
      <c r="M971" s="36"/>
      <c r="N971" s="37"/>
      <c r="R971" s="36"/>
      <c r="S971" s="38"/>
      <c r="T971" s="39"/>
      <c r="U971" s="40"/>
      <c r="W971" s="41"/>
      <c r="X971" s="42"/>
    </row>
    <row r="972" spans="13:24" ht="14.25" customHeight="1">
      <c r="M972" s="36"/>
      <c r="N972" s="37"/>
      <c r="R972" s="36"/>
      <c r="S972" s="38"/>
      <c r="T972" s="39"/>
      <c r="U972" s="40"/>
      <c r="W972" s="41"/>
      <c r="X972" s="42"/>
    </row>
    <row r="973" spans="13:24" ht="14.25" customHeight="1">
      <c r="M973" s="36"/>
      <c r="N973" s="37"/>
      <c r="R973" s="36"/>
      <c r="S973" s="38"/>
      <c r="T973" s="39"/>
      <c r="U973" s="40"/>
      <c r="W973" s="41"/>
      <c r="X973" s="42"/>
    </row>
    <row r="974" spans="13:24" ht="14.25" customHeight="1">
      <c r="M974" s="36"/>
      <c r="N974" s="37"/>
      <c r="R974" s="36"/>
      <c r="S974" s="38"/>
      <c r="T974" s="39"/>
      <c r="U974" s="40"/>
      <c r="W974" s="41"/>
      <c r="X974" s="42"/>
    </row>
    <row r="975" spans="13:24" ht="14.25" customHeight="1">
      <c r="M975" s="36"/>
      <c r="N975" s="37"/>
      <c r="R975" s="36"/>
      <c r="S975" s="38"/>
      <c r="T975" s="39"/>
      <c r="U975" s="40"/>
      <c r="W975" s="41"/>
      <c r="X975" s="42"/>
    </row>
    <row r="976" spans="13:24" ht="14.25" customHeight="1">
      <c r="M976" s="36"/>
      <c r="N976" s="37"/>
      <c r="R976" s="36"/>
      <c r="S976" s="38"/>
      <c r="T976" s="39"/>
      <c r="U976" s="40"/>
      <c r="W976" s="41"/>
      <c r="X976" s="42"/>
    </row>
    <row r="977" spans="13:24" ht="14.25" customHeight="1">
      <c r="M977" s="36"/>
      <c r="N977" s="37"/>
      <c r="R977" s="36"/>
      <c r="S977" s="38"/>
      <c r="T977" s="39"/>
      <c r="U977" s="40"/>
      <c r="W977" s="41"/>
      <c r="X977" s="42"/>
    </row>
    <row r="978" spans="13:24" ht="14.25" customHeight="1">
      <c r="M978" s="36"/>
      <c r="N978" s="37"/>
      <c r="R978" s="36"/>
      <c r="S978" s="38"/>
      <c r="T978" s="39"/>
      <c r="U978" s="40"/>
      <c r="W978" s="41"/>
      <c r="X978" s="42"/>
    </row>
    <row r="979" spans="13:24" ht="14.25" customHeight="1">
      <c r="M979" s="36"/>
      <c r="N979" s="37"/>
      <c r="R979" s="36"/>
      <c r="S979" s="38"/>
      <c r="T979" s="39"/>
      <c r="U979" s="40"/>
      <c r="W979" s="41"/>
      <c r="X979" s="42"/>
    </row>
    <row r="980" spans="13:24" ht="14.25" customHeight="1">
      <c r="M980" s="36"/>
      <c r="N980" s="37"/>
      <c r="R980" s="36"/>
      <c r="S980" s="38"/>
      <c r="T980" s="39"/>
      <c r="U980" s="40"/>
      <c r="W980" s="41"/>
      <c r="X980" s="42"/>
    </row>
    <row r="981" spans="13:24" ht="14.25" customHeight="1">
      <c r="M981" s="36"/>
      <c r="N981" s="37"/>
      <c r="R981" s="36"/>
      <c r="S981" s="38"/>
      <c r="T981" s="39"/>
      <c r="U981" s="40"/>
      <c r="W981" s="41"/>
      <c r="X981" s="42"/>
    </row>
    <row r="982" spans="13:24" ht="14.25" customHeight="1">
      <c r="M982" s="36"/>
      <c r="N982" s="37"/>
      <c r="R982" s="36"/>
      <c r="S982" s="38"/>
      <c r="T982" s="39"/>
      <c r="U982" s="40"/>
      <c r="W982" s="41"/>
      <c r="X982" s="42"/>
    </row>
    <row r="983" spans="13:24" ht="14.25" customHeight="1">
      <c r="M983" s="36"/>
      <c r="N983" s="37"/>
      <c r="R983" s="36"/>
      <c r="S983" s="38"/>
      <c r="T983" s="39"/>
      <c r="U983" s="40"/>
      <c r="W983" s="41"/>
      <c r="X983" s="42"/>
    </row>
    <row r="984" spans="13:24" ht="14.25" customHeight="1">
      <c r="M984" s="36"/>
      <c r="N984" s="37"/>
      <c r="R984" s="36"/>
      <c r="S984" s="38"/>
      <c r="T984" s="39"/>
      <c r="U984" s="40"/>
      <c r="W984" s="41"/>
      <c r="X984" s="42"/>
    </row>
    <row r="985" spans="13:24" ht="14.25" customHeight="1">
      <c r="M985" s="36"/>
      <c r="N985" s="37"/>
      <c r="R985" s="36"/>
      <c r="S985" s="38"/>
      <c r="T985" s="39"/>
      <c r="U985" s="40"/>
      <c r="W985" s="41"/>
      <c r="X985" s="42"/>
    </row>
    <row r="986" spans="13:24" ht="14.25" customHeight="1">
      <c r="M986" s="36"/>
      <c r="N986" s="37"/>
      <c r="R986" s="36"/>
      <c r="S986" s="38"/>
      <c r="T986" s="39"/>
      <c r="U986" s="40"/>
      <c r="W986" s="41"/>
      <c r="X986" s="42"/>
    </row>
    <row r="987" spans="13:24" ht="14.25" customHeight="1">
      <c r="M987" s="36"/>
      <c r="N987" s="37"/>
      <c r="R987" s="36"/>
      <c r="S987" s="38"/>
      <c r="T987" s="39"/>
      <c r="U987" s="40"/>
      <c r="W987" s="41"/>
      <c r="X987" s="42"/>
    </row>
    <row r="988" spans="13:24" ht="14.25" customHeight="1">
      <c r="M988" s="36"/>
      <c r="N988" s="37"/>
      <c r="R988" s="36"/>
      <c r="S988" s="38"/>
      <c r="T988" s="39"/>
      <c r="U988" s="40"/>
      <c r="W988" s="41"/>
      <c r="X988" s="42"/>
    </row>
    <row r="989" spans="13:24" ht="14.25" customHeight="1">
      <c r="M989" s="36"/>
      <c r="N989" s="37"/>
      <c r="R989" s="36"/>
      <c r="S989" s="38"/>
      <c r="T989" s="39"/>
      <c r="U989" s="40"/>
      <c r="W989" s="41"/>
      <c r="X989" s="42"/>
    </row>
    <row r="990" spans="13:24" ht="14.25" customHeight="1">
      <c r="M990" s="36"/>
      <c r="N990" s="37"/>
      <c r="R990" s="36"/>
      <c r="S990" s="38"/>
      <c r="T990" s="39"/>
      <c r="U990" s="40"/>
      <c r="W990" s="41"/>
      <c r="X990" s="42"/>
    </row>
    <row r="991" spans="13:24" ht="14.25" customHeight="1">
      <c r="M991" s="36"/>
      <c r="N991" s="37"/>
      <c r="R991" s="36"/>
      <c r="S991" s="38"/>
      <c r="T991" s="39"/>
      <c r="U991" s="40"/>
      <c r="W991" s="41"/>
      <c r="X991" s="42"/>
    </row>
    <row r="992" spans="13:24" ht="14.25" customHeight="1">
      <c r="M992" s="36"/>
      <c r="N992" s="37"/>
      <c r="R992" s="36"/>
      <c r="S992" s="38"/>
      <c r="T992" s="39"/>
      <c r="U992" s="40"/>
      <c r="W992" s="41"/>
      <c r="X992" s="42"/>
    </row>
    <row r="993" spans="13:24" ht="14.25" customHeight="1">
      <c r="M993" s="36"/>
      <c r="N993" s="37"/>
      <c r="R993" s="36"/>
      <c r="S993" s="38"/>
      <c r="T993" s="39"/>
      <c r="U993" s="40"/>
      <c r="W993" s="41"/>
      <c r="X993" s="42"/>
    </row>
    <row r="994" spans="13:24" ht="14.25" customHeight="1">
      <c r="M994" s="36"/>
      <c r="N994" s="37"/>
      <c r="R994" s="36"/>
      <c r="S994" s="38"/>
      <c r="T994" s="39"/>
      <c r="U994" s="40"/>
      <c r="W994" s="41"/>
      <c r="X994" s="42"/>
    </row>
    <row r="995" spans="13:24" ht="14.25" customHeight="1">
      <c r="M995" s="36"/>
      <c r="N995" s="37"/>
      <c r="R995" s="36"/>
      <c r="S995" s="38"/>
      <c r="T995" s="39"/>
      <c r="U995" s="40"/>
      <c r="W995" s="41"/>
      <c r="X995" s="42"/>
    </row>
    <row r="996" spans="13:24" ht="14.25" customHeight="1">
      <c r="M996" s="36"/>
      <c r="N996" s="37"/>
      <c r="R996" s="36"/>
      <c r="S996" s="38"/>
      <c r="T996" s="39"/>
      <c r="U996" s="40"/>
      <c r="W996" s="41"/>
      <c r="X996" s="42"/>
    </row>
    <row r="997" spans="13:24" ht="14.25" customHeight="1">
      <c r="M997" s="36"/>
      <c r="N997" s="37"/>
      <c r="R997" s="36"/>
      <c r="S997" s="38"/>
      <c r="T997" s="39"/>
      <c r="U997" s="40"/>
      <c r="W997" s="41"/>
      <c r="X997" s="42"/>
    </row>
    <row r="998" spans="13:24" ht="14.25" customHeight="1">
      <c r="M998" s="36"/>
      <c r="N998" s="37"/>
      <c r="R998" s="36"/>
      <c r="S998" s="38"/>
      <c r="T998" s="39"/>
      <c r="U998" s="40"/>
      <c r="W998" s="41"/>
      <c r="X998" s="42"/>
    </row>
    <row r="999" spans="13:24" ht="14.25" customHeight="1">
      <c r="M999" s="36"/>
      <c r="N999" s="37"/>
      <c r="R999" s="36"/>
      <c r="S999" s="38"/>
      <c r="T999" s="39"/>
      <c r="U999" s="40"/>
      <c r="W999" s="41"/>
      <c r="X999" s="42"/>
    </row>
    <row r="1000" spans="13:24" ht="14.25" customHeight="1">
      <c r="M1000" s="36"/>
      <c r="N1000" s="37"/>
      <c r="R1000" s="36"/>
      <c r="S1000" s="38"/>
      <c r="T1000" s="43"/>
      <c r="U1000" s="44"/>
      <c r="W1000" s="45"/>
      <c r="X1000" s="46"/>
    </row>
  </sheetData>
  <dataValidations count="1">
    <dataValidation type="list" allowBlank="1" showErrorMessage="1" sqref="H2:H17" xr:uid="{00000000-0002-0000-0100-000000000000}">
      <formula1>PUERTOS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1000000}">
          <x14:formula1>
            <xm:f>LISTAS!$F$19:$F$39</xm:f>
          </x14:formula1>
          <xm:sqref>I2:I17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00"/>
  <sheetViews>
    <sheetView workbookViewId="0"/>
  </sheetViews>
  <sheetFormatPr baseColWidth="10" defaultColWidth="12.6328125" defaultRowHeight="15" customHeight="1"/>
  <cols>
    <col min="1" max="1" width="7.36328125" customWidth="1"/>
    <col min="2" max="2" width="29" customWidth="1"/>
    <col min="3" max="3" width="10.36328125" customWidth="1"/>
    <col min="4" max="4" width="27.7265625" customWidth="1"/>
    <col min="5" max="5" width="14" customWidth="1"/>
    <col min="6" max="6" width="22.90625" customWidth="1"/>
    <col min="7" max="7" width="17.453125" customWidth="1"/>
    <col min="8" max="8" width="18" customWidth="1"/>
    <col min="9" max="9" width="12.90625" customWidth="1"/>
    <col min="10" max="10" width="10.08984375" customWidth="1"/>
    <col min="11" max="11" width="11.453125" customWidth="1"/>
    <col min="12" max="12" width="5.90625" customWidth="1"/>
    <col min="13" max="13" width="13.90625" customWidth="1"/>
    <col min="14" max="15" width="8.90625" customWidth="1"/>
    <col min="16" max="16" width="13.08984375" customWidth="1"/>
    <col min="17" max="17" width="22.7265625" customWidth="1"/>
    <col min="18" max="28" width="10.6328125" customWidth="1"/>
  </cols>
  <sheetData>
    <row r="1" spans="1:28" ht="14.25" customHeight="1">
      <c r="A1" s="47" t="s">
        <v>70</v>
      </c>
      <c r="B1" s="48" t="s">
        <v>0</v>
      </c>
      <c r="C1" s="47" t="s">
        <v>71</v>
      </c>
      <c r="D1" s="47" t="s">
        <v>3</v>
      </c>
      <c r="E1" s="47" t="s">
        <v>72</v>
      </c>
      <c r="F1" s="47" t="s">
        <v>73</v>
      </c>
      <c r="G1" s="47" t="s">
        <v>74</v>
      </c>
      <c r="H1" s="47" t="s">
        <v>75</v>
      </c>
      <c r="I1" s="47" t="s">
        <v>76</v>
      </c>
      <c r="J1" s="47" t="s">
        <v>77</v>
      </c>
      <c r="K1" s="47" t="s">
        <v>78</v>
      </c>
      <c r="L1" s="47" t="s">
        <v>79</v>
      </c>
      <c r="M1" s="47" t="s">
        <v>80</v>
      </c>
      <c r="N1" s="48" t="s">
        <v>81</v>
      </c>
      <c r="O1" s="47" t="s">
        <v>82</v>
      </c>
      <c r="P1" s="47" t="s">
        <v>83</v>
      </c>
      <c r="Q1" s="47" t="s">
        <v>84</v>
      </c>
    </row>
    <row r="2" spans="1:28" ht="14.25" customHeight="1">
      <c r="A2" s="49" t="s">
        <v>85</v>
      </c>
      <c r="B2" s="50" t="str">
        <f t="shared" ref="B2:B17" si="0">A2&amp;"-"&amp;D2&amp;"-"&amp;C2&amp;"-"&amp;F2/1000&amp;"-"&amp;"MBBL"&amp;"-MUSD$"&amp;(G2/1000000)</f>
        <v>I1-GUNVOR Mediano-LIGHT OIL-100-MBBL-MUSD$7</v>
      </c>
      <c r="C2" s="49" t="s">
        <v>86</v>
      </c>
      <c r="D2" s="49" t="s">
        <v>87</v>
      </c>
      <c r="E2" s="51">
        <v>2</v>
      </c>
      <c r="F2" s="52">
        <v>100000</v>
      </c>
      <c r="G2" s="53">
        <f t="shared" ref="G2:G14" si="1">+(BRENT+E2)*F2</f>
        <v>7000000</v>
      </c>
      <c r="H2" s="54" t="s">
        <v>88</v>
      </c>
      <c r="I2" s="55">
        <v>3.5</v>
      </c>
      <c r="J2" s="53">
        <f t="shared" ref="J2:J14" si="2">+I2*F2</f>
        <v>350000</v>
      </c>
      <c r="K2" s="56">
        <v>32</v>
      </c>
      <c r="L2" s="57">
        <f t="shared" ref="L2:L14" si="3">+(141.5/(K2+131.5))</f>
        <v>0.86544342507645255</v>
      </c>
      <c r="M2" s="57">
        <f t="shared" ref="M2:M14" si="4">+L2*999.016</f>
        <v>864.59182874617727</v>
      </c>
      <c r="N2" s="58">
        <f>VLOOKUP(K2,PuertosLlegada!$A$32:$B$122,2,0)</f>
        <v>7.274</v>
      </c>
      <c r="O2" s="59">
        <v>5.0000000000000001E-3</v>
      </c>
      <c r="P2" s="49">
        <v>100</v>
      </c>
      <c r="Q2" s="59">
        <v>3.0000000000000001E-3</v>
      </c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</row>
    <row r="3" spans="1:28" ht="14.25" customHeight="1">
      <c r="A3" s="49" t="s">
        <v>89</v>
      </c>
      <c r="B3" s="50" t="str">
        <f t="shared" si="0"/>
        <v>I2-GUNVOR Mediano-LIGHT OIL-100-MBBL-MUSD$7</v>
      </c>
      <c r="C3" s="49" t="s">
        <v>86</v>
      </c>
      <c r="D3" s="49" t="s">
        <v>87</v>
      </c>
      <c r="E3" s="51">
        <v>2</v>
      </c>
      <c r="F3" s="52">
        <v>100000</v>
      </c>
      <c r="G3" s="53">
        <f t="shared" si="1"/>
        <v>7000000</v>
      </c>
      <c r="H3" s="53" t="s">
        <v>88</v>
      </c>
      <c r="I3" s="55">
        <v>3.5</v>
      </c>
      <c r="J3" s="53">
        <f t="shared" si="2"/>
        <v>350000</v>
      </c>
      <c r="K3" s="56">
        <v>32</v>
      </c>
      <c r="L3" s="57">
        <f t="shared" si="3"/>
        <v>0.86544342507645255</v>
      </c>
      <c r="M3" s="57">
        <f t="shared" si="4"/>
        <v>864.59182874617727</v>
      </c>
      <c r="N3" s="58">
        <f>VLOOKUP(K3,PuertosLlegada!$A$32:$B$122,2,0)</f>
        <v>7.274</v>
      </c>
      <c r="O3" s="59">
        <v>5.0000000000000001E-3</v>
      </c>
      <c r="P3" s="49">
        <v>100</v>
      </c>
      <c r="Q3" s="59">
        <v>3.0000000000000001E-3</v>
      </c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</row>
    <row r="4" spans="1:28" ht="14.25" customHeight="1">
      <c r="A4" s="55" t="s">
        <v>90</v>
      </c>
      <c r="B4" s="50" t="str">
        <f t="shared" si="0"/>
        <v>E1-Ecopetrol (Exportación-Flete asumido cliente)-FUEL OIL-100-MBBL-MUSD$7</v>
      </c>
      <c r="C4" s="49" t="s">
        <v>91</v>
      </c>
      <c r="D4" s="55" t="s">
        <v>92</v>
      </c>
      <c r="E4" s="51">
        <v>2</v>
      </c>
      <c r="F4" s="60">
        <v>100000</v>
      </c>
      <c r="G4" s="53">
        <f t="shared" si="1"/>
        <v>7000000</v>
      </c>
      <c r="H4" s="53" t="s">
        <v>93</v>
      </c>
      <c r="I4" s="55">
        <v>0</v>
      </c>
      <c r="J4" s="53">
        <f t="shared" si="2"/>
        <v>0</v>
      </c>
      <c r="K4" s="61">
        <v>16</v>
      </c>
      <c r="L4" s="57">
        <f t="shared" si="3"/>
        <v>0.95932203389830506</v>
      </c>
      <c r="M4" s="57">
        <f t="shared" si="4"/>
        <v>958.37806101694912</v>
      </c>
      <c r="N4" s="58">
        <f>VLOOKUP(K4,PuertosLlegada!$A$32:$B$122,2,0)</f>
        <v>6.5620000000000003</v>
      </c>
      <c r="O4" s="59">
        <v>5.0000000000000001E-3</v>
      </c>
      <c r="P4" s="49">
        <v>100</v>
      </c>
      <c r="Q4" s="59">
        <v>3.0000000000000001E-3</v>
      </c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</row>
    <row r="5" spans="1:28" ht="14.25" customHeight="1">
      <c r="A5" s="49" t="s">
        <v>94</v>
      </c>
      <c r="B5" s="50" t="str">
        <f t="shared" si="0"/>
        <v>I3-GUNVOR Mediano-LIGHT OIL-100-MBBL-MUSD$7</v>
      </c>
      <c r="C5" s="49" t="s">
        <v>86</v>
      </c>
      <c r="D5" s="49" t="s">
        <v>87</v>
      </c>
      <c r="E5" s="51">
        <v>2</v>
      </c>
      <c r="F5" s="52">
        <v>100000</v>
      </c>
      <c r="G5" s="53">
        <f t="shared" si="1"/>
        <v>7000000</v>
      </c>
      <c r="H5" s="53" t="s">
        <v>88</v>
      </c>
      <c r="I5" s="49">
        <v>3.5</v>
      </c>
      <c r="J5" s="53">
        <f t="shared" si="2"/>
        <v>350000</v>
      </c>
      <c r="K5" s="62">
        <v>32</v>
      </c>
      <c r="L5" s="57">
        <f t="shared" si="3"/>
        <v>0.86544342507645255</v>
      </c>
      <c r="M5" s="57">
        <f t="shared" si="4"/>
        <v>864.59182874617727</v>
      </c>
      <c r="N5" s="58">
        <f>VLOOKUP(K5,PuertosLlegada!$A$32:$B$122,2,0)</f>
        <v>7.274</v>
      </c>
      <c r="O5" s="59">
        <v>5.0000000000000001E-3</v>
      </c>
      <c r="P5" s="49">
        <v>100</v>
      </c>
      <c r="Q5" s="59">
        <v>3.0000000000000001E-3</v>
      </c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</row>
    <row r="6" spans="1:28" ht="14.25" customHeight="1">
      <c r="A6" s="49" t="s">
        <v>95</v>
      </c>
      <c r="B6" s="50" t="str">
        <f t="shared" si="0"/>
        <v>I4-GUNVOR Mediano-LIGHT OIL-100-MBBL-MUSD$7</v>
      </c>
      <c r="C6" s="49" t="s">
        <v>86</v>
      </c>
      <c r="D6" s="49" t="s">
        <v>87</v>
      </c>
      <c r="E6" s="51">
        <v>2</v>
      </c>
      <c r="F6" s="52">
        <v>100000</v>
      </c>
      <c r="G6" s="53">
        <f t="shared" si="1"/>
        <v>7000000</v>
      </c>
      <c r="H6" s="53" t="s">
        <v>88</v>
      </c>
      <c r="I6" s="49">
        <v>3.5</v>
      </c>
      <c r="J6" s="53">
        <f t="shared" si="2"/>
        <v>350000</v>
      </c>
      <c r="K6" s="62">
        <v>32</v>
      </c>
      <c r="L6" s="57">
        <f t="shared" si="3"/>
        <v>0.86544342507645255</v>
      </c>
      <c r="M6" s="57">
        <f t="shared" si="4"/>
        <v>864.59182874617727</v>
      </c>
      <c r="N6" s="58">
        <f>VLOOKUP(K6,PuertosLlegada!$A$32:$B$122,2,0)</f>
        <v>7.274</v>
      </c>
      <c r="O6" s="59">
        <v>5.0000000000000001E-3</v>
      </c>
      <c r="P6" s="49">
        <v>100</v>
      </c>
      <c r="Q6" s="59">
        <v>3.0000000000000001E-3</v>
      </c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</row>
    <row r="7" spans="1:28" ht="14.25" customHeight="1">
      <c r="A7" s="49" t="s">
        <v>96</v>
      </c>
      <c r="B7" s="50" t="str">
        <f t="shared" si="0"/>
        <v>I5-GUNVOR-LIGHT OIL-35-MBBL-MUSD$2,45</v>
      </c>
      <c r="C7" s="49" t="s">
        <v>86</v>
      </c>
      <c r="D7" s="49" t="s">
        <v>97</v>
      </c>
      <c r="E7" s="63">
        <v>2</v>
      </c>
      <c r="F7" s="52">
        <v>35000</v>
      </c>
      <c r="G7" s="53">
        <f t="shared" si="1"/>
        <v>2450000</v>
      </c>
      <c r="H7" s="53" t="s">
        <v>88</v>
      </c>
      <c r="I7" s="55">
        <v>4</v>
      </c>
      <c r="J7" s="53">
        <f t="shared" si="2"/>
        <v>140000</v>
      </c>
      <c r="K7" s="62">
        <v>32</v>
      </c>
      <c r="L7" s="57">
        <f t="shared" si="3"/>
        <v>0.86544342507645255</v>
      </c>
      <c r="M7" s="57">
        <f t="shared" si="4"/>
        <v>864.59182874617727</v>
      </c>
      <c r="N7" s="58">
        <f>VLOOKUP(K7,PuertosLlegada!$A$32:$B$122,2,0)</f>
        <v>7.274</v>
      </c>
      <c r="O7" s="59">
        <v>5.0000000000000001E-3</v>
      </c>
      <c r="P7" s="49">
        <v>100</v>
      </c>
      <c r="Q7" s="59">
        <v>3.0000000000000001E-3</v>
      </c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</row>
    <row r="8" spans="1:28" ht="14.25" customHeight="1">
      <c r="A8" s="49" t="s">
        <v>98</v>
      </c>
      <c r="B8" s="50" t="str">
        <f t="shared" si="0"/>
        <v>I6-BB Energy-LIGHT OIL-20-MBBL-MUSD$1,44</v>
      </c>
      <c r="C8" s="49" t="s">
        <v>86</v>
      </c>
      <c r="D8" s="49" t="s">
        <v>99</v>
      </c>
      <c r="E8" s="51">
        <v>4</v>
      </c>
      <c r="F8" s="60">
        <v>20000</v>
      </c>
      <c r="G8" s="53">
        <f t="shared" si="1"/>
        <v>1440000</v>
      </c>
      <c r="H8" s="53" t="s">
        <v>88</v>
      </c>
      <c r="I8" s="49">
        <v>5</v>
      </c>
      <c r="J8" s="53">
        <f t="shared" si="2"/>
        <v>100000</v>
      </c>
      <c r="K8" s="62">
        <v>33</v>
      </c>
      <c r="L8" s="57">
        <f t="shared" si="3"/>
        <v>0.86018237082066873</v>
      </c>
      <c r="M8" s="57">
        <f t="shared" si="4"/>
        <v>859.33595136778115</v>
      </c>
      <c r="N8" s="58">
        <f>VLOOKUP(K8,PuertosLlegada!$A$32:$B$122,2,0)</f>
        <v>7.319</v>
      </c>
      <c r="O8" s="59">
        <v>5.0000000000000001E-3</v>
      </c>
      <c r="P8" s="49">
        <v>100</v>
      </c>
      <c r="Q8" s="59">
        <v>3.0000000000000001E-3</v>
      </c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</row>
    <row r="9" spans="1:28" ht="14.25" customHeight="1">
      <c r="A9" s="49" t="s">
        <v>100</v>
      </c>
      <c r="B9" s="50" t="str">
        <f t="shared" si="0"/>
        <v>I7-GUNVOR Mediano-LIGHT OIL-300-MBBL-MUSD$20,4</v>
      </c>
      <c r="C9" s="49" t="s">
        <v>86</v>
      </c>
      <c r="D9" s="49" t="s">
        <v>87</v>
      </c>
      <c r="E9" s="63">
        <v>0</v>
      </c>
      <c r="F9" s="52">
        <v>300000</v>
      </c>
      <c r="G9" s="53">
        <f t="shared" si="1"/>
        <v>20400000</v>
      </c>
      <c r="H9" s="53" t="s">
        <v>88</v>
      </c>
      <c r="I9" s="49">
        <v>2</v>
      </c>
      <c r="J9" s="53">
        <f t="shared" si="2"/>
        <v>600000</v>
      </c>
      <c r="K9" s="62">
        <v>21</v>
      </c>
      <c r="L9" s="57">
        <f t="shared" si="3"/>
        <v>0.9278688524590164</v>
      </c>
      <c r="M9" s="57">
        <f t="shared" si="4"/>
        <v>926.95582950819664</v>
      </c>
      <c r="N9" s="58">
        <f>VLOOKUP(K9,PuertosLlegada!$A$32:$B$122,2,0)</f>
        <v>6.7850000000000001</v>
      </c>
      <c r="O9" s="59">
        <v>5.0000000000000001E-3</v>
      </c>
      <c r="P9" s="49">
        <v>100</v>
      </c>
      <c r="Q9" s="59">
        <v>3.0000000000000001E-3</v>
      </c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</row>
    <row r="10" spans="1:28" ht="14.25" customHeight="1">
      <c r="A10" s="49" t="s">
        <v>101</v>
      </c>
      <c r="B10" s="50" t="str">
        <f t="shared" si="0"/>
        <v>I8-GUNVOR-LIGHT OIL-50-MBBL-MUSD$3,5</v>
      </c>
      <c r="C10" s="49" t="s">
        <v>86</v>
      </c>
      <c r="D10" s="49" t="s">
        <v>97</v>
      </c>
      <c r="E10" s="63">
        <v>2</v>
      </c>
      <c r="F10" s="60">
        <v>50000</v>
      </c>
      <c r="G10" s="53">
        <f t="shared" si="1"/>
        <v>3500000</v>
      </c>
      <c r="H10" s="53" t="s">
        <v>88</v>
      </c>
      <c r="I10" s="49">
        <v>4</v>
      </c>
      <c r="J10" s="53">
        <f t="shared" si="2"/>
        <v>200000</v>
      </c>
      <c r="K10" s="62">
        <v>30</v>
      </c>
      <c r="L10" s="57">
        <f t="shared" si="3"/>
        <v>0.87616099071207432</v>
      </c>
      <c r="M10" s="57">
        <f t="shared" si="4"/>
        <v>875.29884829721357</v>
      </c>
      <c r="N10" s="58">
        <f>VLOOKUP(K10,PuertosLlegada!$A$32:$B$122,2,0)</f>
        <v>7.1849999999999996</v>
      </c>
      <c r="O10" s="59">
        <v>5.0000000000000001E-3</v>
      </c>
      <c r="P10" s="49">
        <v>100</v>
      </c>
      <c r="Q10" s="59">
        <v>3.0000000000000001E-3</v>
      </c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</row>
    <row r="11" spans="1:28" ht="14.25" customHeight="1">
      <c r="A11" s="49" t="s">
        <v>102</v>
      </c>
      <c r="B11" s="50" t="str">
        <f t="shared" si="0"/>
        <v>I9-BB Energy-LIGHT OIL-75-MBBL-MUSD$5,2875</v>
      </c>
      <c r="C11" s="49" t="s">
        <v>86</v>
      </c>
      <c r="D11" s="49" t="s">
        <v>99</v>
      </c>
      <c r="E11" s="63">
        <v>2.5</v>
      </c>
      <c r="F11" s="60">
        <v>75000</v>
      </c>
      <c r="G11" s="53">
        <f t="shared" si="1"/>
        <v>5287500</v>
      </c>
      <c r="H11" s="53" t="s">
        <v>88</v>
      </c>
      <c r="I11" s="49">
        <v>4</v>
      </c>
      <c r="J11" s="53">
        <f t="shared" si="2"/>
        <v>300000</v>
      </c>
      <c r="K11" s="62">
        <v>28</v>
      </c>
      <c r="L11" s="57">
        <f t="shared" si="3"/>
        <v>0.88714733542319746</v>
      </c>
      <c r="M11" s="57">
        <f t="shared" si="4"/>
        <v>886.27438244514099</v>
      </c>
      <c r="N11" s="58">
        <f>VLOOKUP(K11,PuertosLlegada!$A$32:$B$122,2,0)</f>
        <v>7.0960000000000001</v>
      </c>
      <c r="O11" s="59">
        <v>5.0000000000000001E-3</v>
      </c>
      <c r="P11" s="49">
        <v>100</v>
      </c>
      <c r="Q11" s="59">
        <v>3.0000000000000001E-3</v>
      </c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</row>
    <row r="12" spans="1:28" ht="14.25" customHeight="1">
      <c r="A12" s="49" t="s">
        <v>103</v>
      </c>
      <c r="B12" s="50" t="str">
        <f t="shared" si="0"/>
        <v>I10-GUNVOR Mediano-LIGHT OIL-15-MBBL-MUSD$1,065</v>
      </c>
      <c r="C12" s="49" t="s">
        <v>86</v>
      </c>
      <c r="D12" s="49" t="s">
        <v>87</v>
      </c>
      <c r="E12" s="63">
        <v>3</v>
      </c>
      <c r="F12" s="60">
        <v>15000</v>
      </c>
      <c r="G12" s="53">
        <f t="shared" si="1"/>
        <v>1065000</v>
      </c>
      <c r="H12" s="53" t="s">
        <v>88</v>
      </c>
      <c r="I12" s="49">
        <v>5</v>
      </c>
      <c r="J12" s="53">
        <f t="shared" si="2"/>
        <v>75000</v>
      </c>
      <c r="K12" s="62">
        <v>30</v>
      </c>
      <c r="L12" s="57">
        <f t="shared" si="3"/>
        <v>0.87616099071207432</v>
      </c>
      <c r="M12" s="57">
        <f t="shared" si="4"/>
        <v>875.29884829721357</v>
      </c>
      <c r="N12" s="58">
        <f>VLOOKUP(K12,PuertosLlegada!$A$32:$B$122,2,0)</f>
        <v>7.1849999999999996</v>
      </c>
      <c r="O12" s="59">
        <v>5.0000000000000001E-3</v>
      </c>
      <c r="P12" s="49">
        <v>100</v>
      </c>
      <c r="Q12" s="59">
        <v>3.0000000000000001E-3</v>
      </c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</row>
    <row r="13" spans="1:28" ht="14.25" customHeight="1">
      <c r="A13" s="49" t="s">
        <v>104</v>
      </c>
      <c r="B13" s="50" t="str">
        <f t="shared" si="0"/>
        <v>I11-BB Energy-LIGHT OIL-200-MBBL-MUSD$13,6</v>
      </c>
      <c r="C13" s="49" t="s">
        <v>86</v>
      </c>
      <c r="D13" s="49" t="s">
        <v>99</v>
      </c>
      <c r="E13" s="63">
        <v>0</v>
      </c>
      <c r="F13" s="60">
        <v>200000</v>
      </c>
      <c r="G13" s="53">
        <f t="shared" si="1"/>
        <v>13600000</v>
      </c>
      <c r="H13" s="53" t="s">
        <v>88</v>
      </c>
      <c r="I13" s="49">
        <v>3</v>
      </c>
      <c r="J13" s="53">
        <f t="shared" si="2"/>
        <v>600000</v>
      </c>
      <c r="K13" s="62">
        <v>25</v>
      </c>
      <c r="L13" s="57">
        <f t="shared" si="3"/>
        <v>0.90415335463258784</v>
      </c>
      <c r="M13" s="57">
        <f t="shared" si="4"/>
        <v>903.26366773162931</v>
      </c>
      <c r="N13" s="58">
        <f>VLOOKUP(K13,PuertosLlegada!$A$32:$B$122,2,0)</f>
        <v>6.9630000000000001</v>
      </c>
      <c r="O13" s="59">
        <v>5.0000000000000001E-3</v>
      </c>
      <c r="P13" s="49">
        <v>100</v>
      </c>
      <c r="Q13" s="59">
        <v>3.0000000000000001E-3</v>
      </c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</row>
    <row r="14" spans="1:28" ht="14.25" customHeight="1">
      <c r="A14" s="49" t="s">
        <v>105</v>
      </c>
      <c r="B14" s="50" t="str">
        <f t="shared" si="0"/>
        <v>I12-GUNVOR-LIGHT OIL-50-MBBL-MUSD$3,55</v>
      </c>
      <c r="C14" s="49" t="s">
        <v>86</v>
      </c>
      <c r="D14" s="49" t="s">
        <v>97</v>
      </c>
      <c r="E14" s="63">
        <v>3</v>
      </c>
      <c r="F14" s="52">
        <v>50000</v>
      </c>
      <c r="G14" s="53">
        <f t="shared" si="1"/>
        <v>3550000</v>
      </c>
      <c r="H14" s="53" t="s">
        <v>88</v>
      </c>
      <c r="I14" s="49">
        <v>4</v>
      </c>
      <c r="J14" s="53">
        <f t="shared" si="2"/>
        <v>200000</v>
      </c>
      <c r="K14" s="62">
        <v>30</v>
      </c>
      <c r="L14" s="57">
        <f t="shared" si="3"/>
        <v>0.87616099071207432</v>
      </c>
      <c r="M14" s="57">
        <f t="shared" si="4"/>
        <v>875.29884829721357</v>
      </c>
      <c r="N14" s="58">
        <f>VLOOKUP(K14,PuertosLlegada!$A$32:$B$122,2,0)</f>
        <v>7.1849999999999996</v>
      </c>
      <c r="O14" s="59">
        <v>5.0000000000000001E-3</v>
      </c>
      <c r="P14" s="49">
        <v>100</v>
      </c>
      <c r="Q14" s="59">
        <v>3.0000000000000001E-3</v>
      </c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</row>
    <row r="15" spans="1:28" ht="14.25" customHeight="1">
      <c r="B15" s="50" t="str">
        <f t="shared" si="0"/>
        <v>---0-MBBL-MUSD$0</v>
      </c>
      <c r="F15" s="64"/>
      <c r="G15" s="22"/>
      <c r="H15" s="22"/>
    </row>
    <row r="16" spans="1:28" ht="14.25" customHeight="1">
      <c r="B16" s="50" t="str">
        <f t="shared" si="0"/>
        <v>---0-MBBL-MUSD$0</v>
      </c>
      <c r="F16" s="64"/>
      <c r="G16" s="22">
        <f>+(BRENT+E16)*F16</f>
        <v>0</v>
      </c>
    </row>
    <row r="17" spans="2:7" ht="14.25" customHeight="1">
      <c r="B17" s="50" t="str">
        <f t="shared" si="0"/>
        <v>---0-MBBL-MUSD$0</v>
      </c>
      <c r="F17" s="64"/>
      <c r="G17" s="22">
        <f>+(BRENT+E17)*F17</f>
        <v>0</v>
      </c>
    </row>
    <row r="18" spans="2:7" ht="14.25" customHeight="1">
      <c r="F18" s="22"/>
    </row>
    <row r="19" spans="2:7" ht="14.25" customHeight="1">
      <c r="F19" s="22"/>
    </row>
    <row r="20" spans="2:7" ht="14.25" customHeight="1">
      <c r="F20" s="22"/>
    </row>
    <row r="21" spans="2:7" ht="14.25" customHeight="1">
      <c r="F21" s="22"/>
    </row>
    <row r="22" spans="2:7" ht="14.25" customHeight="1">
      <c r="F22" s="22"/>
    </row>
    <row r="23" spans="2:7" ht="14.25" customHeight="1">
      <c r="F23" s="22"/>
    </row>
    <row r="24" spans="2:7" ht="14.25" customHeight="1">
      <c r="F24" s="22"/>
    </row>
    <row r="25" spans="2:7" ht="14.25" customHeight="1">
      <c r="F25" s="22"/>
    </row>
    <row r="26" spans="2:7" ht="14.25" customHeight="1">
      <c r="F26" s="22"/>
    </row>
    <row r="27" spans="2:7" ht="14.25" customHeight="1">
      <c r="F27" s="22"/>
    </row>
    <row r="28" spans="2:7" ht="14.25" customHeight="1">
      <c r="F28" s="22"/>
    </row>
    <row r="29" spans="2:7" ht="14.25" customHeight="1">
      <c r="F29" s="22"/>
    </row>
    <row r="30" spans="2:7" ht="14.25" customHeight="1">
      <c r="F30" s="22"/>
    </row>
    <row r="31" spans="2:7" ht="14.25" customHeight="1">
      <c r="F31" s="22"/>
    </row>
    <row r="32" spans="2:7" ht="14.25" customHeight="1">
      <c r="F32" s="22"/>
    </row>
    <row r="33" spans="6:6" ht="14.25" customHeight="1">
      <c r="F33" s="22"/>
    </row>
    <row r="34" spans="6:6" ht="14.25" customHeight="1">
      <c r="F34" s="22"/>
    </row>
    <row r="35" spans="6:6" ht="14.25" customHeight="1">
      <c r="F35" s="22"/>
    </row>
    <row r="36" spans="6:6" ht="14.25" customHeight="1">
      <c r="F36" s="22"/>
    </row>
    <row r="37" spans="6:6" ht="14.25" customHeight="1">
      <c r="F37" s="22"/>
    </row>
    <row r="38" spans="6:6" ht="14.25" customHeight="1">
      <c r="F38" s="22"/>
    </row>
    <row r="39" spans="6:6" ht="14.25" customHeight="1">
      <c r="F39" s="22"/>
    </row>
    <row r="40" spans="6:6" ht="14.25" customHeight="1">
      <c r="F40" s="22"/>
    </row>
    <row r="41" spans="6:6" ht="14.25" customHeight="1">
      <c r="F41" s="22"/>
    </row>
    <row r="42" spans="6:6" ht="14.25" customHeight="1">
      <c r="F42" s="22"/>
    </row>
    <row r="43" spans="6:6" ht="14.25" customHeight="1">
      <c r="F43" s="22"/>
    </row>
    <row r="44" spans="6:6" ht="14.25" customHeight="1">
      <c r="F44" s="22"/>
    </row>
    <row r="45" spans="6:6" ht="14.25" customHeight="1">
      <c r="F45" s="22"/>
    </row>
    <row r="46" spans="6:6" ht="14.25" customHeight="1">
      <c r="F46" s="22"/>
    </row>
    <row r="47" spans="6:6" ht="14.25" customHeight="1">
      <c r="F47" s="22"/>
    </row>
    <row r="48" spans="6:6" ht="14.25" customHeight="1">
      <c r="F48" s="22"/>
    </row>
    <row r="49" spans="6:6" ht="14.25" customHeight="1">
      <c r="F49" s="22"/>
    </row>
    <row r="50" spans="6:6" ht="14.25" customHeight="1">
      <c r="F50" s="22"/>
    </row>
    <row r="51" spans="6:6" ht="14.25" customHeight="1">
      <c r="F51" s="22"/>
    </row>
    <row r="52" spans="6:6" ht="14.25" customHeight="1">
      <c r="F52" s="22"/>
    </row>
    <row r="53" spans="6:6" ht="14.25" customHeight="1">
      <c r="F53" s="22"/>
    </row>
    <row r="54" spans="6:6" ht="14.25" customHeight="1">
      <c r="F54" s="22"/>
    </row>
    <row r="55" spans="6:6" ht="14.25" customHeight="1">
      <c r="F55" s="22"/>
    </row>
    <row r="56" spans="6:6" ht="14.25" customHeight="1">
      <c r="F56" s="22"/>
    </row>
    <row r="57" spans="6:6" ht="14.25" customHeight="1">
      <c r="F57" s="22"/>
    </row>
    <row r="58" spans="6:6" ht="14.25" customHeight="1">
      <c r="F58" s="22"/>
    </row>
    <row r="59" spans="6:6" ht="14.25" customHeight="1">
      <c r="F59" s="22"/>
    </row>
    <row r="60" spans="6:6" ht="14.25" customHeight="1">
      <c r="F60" s="22"/>
    </row>
    <row r="61" spans="6:6" ht="14.25" customHeight="1">
      <c r="F61" s="22"/>
    </row>
    <row r="62" spans="6:6" ht="14.25" customHeight="1">
      <c r="F62" s="22"/>
    </row>
    <row r="63" spans="6:6" ht="14.25" customHeight="1">
      <c r="F63" s="22"/>
    </row>
    <row r="64" spans="6:6" ht="14.25" customHeight="1">
      <c r="F64" s="22"/>
    </row>
    <row r="65" spans="6:6" ht="14.25" customHeight="1">
      <c r="F65" s="22"/>
    </row>
    <row r="66" spans="6:6" ht="14.25" customHeight="1">
      <c r="F66" s="22"/>
    </row>
    <row r="67" spans="6:6" ht="14.25" customHeight="1">
      <c r="F67" s="22"/>
    </row>
    <row r="68" spans="6:6" ht="14.25" customHeight="1">
      <c r="F68" s="22"/>
    </row>
    <row r="69" spans="6:6" ht="14.25" customHeight="1">
      <c r="F69" s="22"/>
    </row>
    <row r="70" spans="6:6" ht="14.25" customHeight="1">
      <c r="F70" s="22"/>
    </row>
    <row r="71" spans="6:6" ht="14.25" customHeight="1">
      <c r="F71" s="22"/>
    </row>
    <row r="72" spans="6:6" ht="14.25" customHeight="1">
      <c r="F72" s="22"/>
    </row>
    <row r="73" spans="6:6" ht="14.25" customHeight="1">
      <c r="F73" s="22"/>
    </row>
    <row r="74" spans="6:6" ht="14.25" customHeight="1">
      <c r="F74" s="22"/>
    </row>
    <row r="75" spans="6:6" ht="14.25" customHeight="1">
      <c r="F75" s="22"/>
    </row>
    <row r="76" spans="6:6" ht="14.25" customHeight="1">
      <c r="F76" s="22"/>
    </row>
    <row r="77" spans="6:6" ht="14.25" customHeight="1">
      <c r="F77" s="22"/>
    </row>
    <row r="78" spans="6:6" ht="14.25" customHeight="1">
      <c r="F78" s="22"/>
    </row>
    <row r="79" spans="6:6" ht="14.25" customHeight="1">
      <c r="F79" s="22"/>
    </row>
    <row r="80" spans="6:6" ht="14.25" customHeight="1">
      <c r="F80" s="22"/>
    </row>
    <row r="81" spans="6:6" ht="14.25" customHeight="1">
      <c r="F81" s="22"/>
    </row>
    <row r="82" spans="6:6" ht="14.25" customHeight="1">
      <c r="F82" s="22"/>
    </row>
    <row r="83" spans="6:6" ht="14.25" customHeight="1">
      <c r="F83" s="22"/>
    </row>
    <row r="84" spans="6:6" ht="14.25" customHeight="1">
      <c r="F84" s="22"/>
    </row>
    <row r="85" spans="6:6" ht="14.25" customHeight="1">
      <c r="F85" s="22"/>
    </row>
    <row r="86" spans="6:6" ht="14.25" customHeight="1">
      <c r="F86" s="22"/>
    </row>
    <row r="87" spans="6:6" ht="14.25" customHeight="1">
      <c r="F87" s="22"/>
    </row>
    <row r="88" spans="6:6" ht="14.25" customHeight="1">
      <c r="F88" s="22"/>
    </row>
    <row r="89" spans="6:6" ht="14.25" customHeight="1">
      <c r="F89" s="22"/>
    </row>
    <row r="90" spans="6:6" ht="14.25" customHeight="1">
      <c r="F90" s="22"/>
    </row>
    <row r="91" spans="6:6" ht="14.25" customHeight="1">
      <c r="F91" s="22"/>
    </row>
    <row r="92" spans="6:6" ht="14.25" customHeight="1">
      <c r="F92" s="22"/>
    </row>
    <row r="93" spans="6:6" ht="14.25" customHeight="1">
      <c r="F93" s="22"/>
    </row>
    <row r="94" spans="6:6" ht="14.25" customHeight="1">
      <c r="F94" s="22"/>
    </row>
    <row r="95" spans="6:6" ht="14.25" customHeight="1">
      <c r="F95" s="22"/>
    </row>
    <row r="96" spans="6:6" ht="14.25" customHeight="1">
      <c r="F96" s="22"/>
    </row>
    <row r="97" spans="6:6" ht="14.25" customHeight="1">
      <c r="F97" s="22"/>
    </row>
    <row r="98" spans="6:6" ht="14.25" customHeight="1">
      <c r="F98" s="22"/>
    </row>
    <row r="99" spans="6:6" ht="14.25" customHeight="1">
      <c r="F99" s="22"/>
    </row>
    <row r="100" spans="6:6" ht="14.25" customHeight="1">
      <c r="F100" s="22"/>
    </row>
    <row r="101" spans="6:6" ht="14.25" customHeight="1">
      <c r="F101" s="22"/>
    </row>
    <row r="102" spans="6:6" ht="14.25" customHeight="1">
      <c r="F102" s="22"/>
    </row>
    <row r="103" spans="6:6" ht="14.25" customHeight="1">
      <c r="F103" s="22"/>
    </row>
    <row r="104" spans="6:6" ht="14.25" customHeight="1">
      <c r="F104" s="22"/>
    </row>
    <row r="105" spans="6:6" ht="14.25" customHeight="1">
      <c r="F105" s="22"/>
    </row>
    <row r="106" spans="6:6" ht="14.25" customHeight="1">
      <c r="F106" s="22"/>
    </row>
    <row r="107" spans="6:6" ht="14.25" customHeight="1">
      <c r="F107" s="22"/>
    </row>
    <row r="108" spans="6:6" ht="14.25" customHeight="1">
      <c r="F108" s="22"/>
    </row>
    <row r="109" spans="6:6" ht="14.25" customHeight="1">
      <c r="F109" s="22"/>
    </row>
    <row r="110" spans="6:6" ht="14.25" customHeight="1">
      <c r="F110" s="22"/>
    </row>
    <row r="111" spans="6:6" ht="14.25" customHeight="1">
      <c r="F111" s="22"/>
    </row>
    <row r="112" spans="6:6" ht="14.25" customHeight="1">
      <c r="F112" s="22"/>
    </row>
    <row r="113" spans="6:6" ht="14.25" customHeight="1">
      <c r="F113" s="22"/>
    </row>
    <row r="114" spans="6:6" ht="14.25" customHeight="1">
      <c r="F114" s="22"/>
    </row>
    <row r="115" spans="6:6" ht="14.25" customHeight="1">
      <c r="F115" s="22"/>
    </row>
    <row r="116" spans="6:6" ht="14.25" customHeight="1">
      <c r="F116" s="22"/>
    </row>
    <row r="117" spans="6:6" ht="14.25" customHeight="1">
      <c r="F117" s="22"/>
    </row>
    <row r="118" spans="6:6" ht="14.25" customHeight="1">
      <c r="F118" s="22"/>
    </row>
    <row r="119" spans="6:6" ht="14.25" customHeight="1">
      <c r="F119" s="22"/>
    </row>
    <row r="120" spans="6:6" ht="14.25" customHeight="1">
      <c r="F120" s="22"/>
    </row>
    <row r="121" spans="6:6" ht="14.25" customHeight="1">
      <c r="F121" s="22"/>
    </row>
    <row r="122" spans="6:6" ht="14.25" customHeight="1">
      <c r="F122" s="22"/>
    </row>
    <row r="123" spans="6:6" ht="14.25" customHeight="1">
      <c r="F123" s="22"/>
    </row>
    <row r="124" spans="6:6" ht="14.25" customHeight="1">
      <c r="F124" s="22"/>
    </row>
    <row r="125" spans="6:6" ht="14.25" customHeight="1">
      <c r="F125" s="22"/>
    </row>
    <row r="126" spans="6:6" ht="14.25" customHeight="1">
      <c r="F126" s="22"/>
    </row>
    <row r="127" spans="6:6" ht="14.25" customHeight="1">
      <c r="F127" s="22"/>
    </row>
    <row r="128" spans="6:6" ht="14.25" customHeight="1">
      <c r="F128" s="22"/>
    </row>
    <row r="129" spans="6:6" ht="14.25" customHeight="1">
      <c r="F129" s="22"/>
    </row>
    <row r="130" spans="6:6" ht="14.25" customHeight="1">
      <c r="F130" s="22"/>
    </row>
    <row r="131" spans="6:6" ht="14.25" customHeight="1">
      <c r="F131" s="22"/>
    </row>
    <row r="132" spans="6:6" ht="14.25" customHeight="1">
      <c r="F132" s="22"/>
    </row>
    <row r="133" spans="6:6" ht="14.25" customHeight="1">
      <c r="F133" s="22"/>
    </row>
    <row r="134" spans="6:6" ht="14.25" customHeight="1">
      <c r="F134" s="22"/>
    </row>
    <row r="135" spans="6:6" ht="14.25" customHeight="1">
      <c r="F135" s="22"/>
    </row>
    <row r="136" spans="6:6" ht="14.25" customHeight="1">
      <c r="F136" s="22"/>
    </row>
    <row r="137" spans="6:6" ht="14.25" customHeight="1">
      <c r="F137" s="22"/>
    </row>
    <row r="138" spans="6:6" ht="14.25" customHeight="1">
      <c r="F138" s="22"/>
    </row>
    <row r="139" spans="6:6" ht="14.25" customHeight="1">
      <c r="F139" s="22"/>
    </row>
    <row r="140" spans="6:6" ht="14.25" customHeight="1">
      <c r="F140" s="22"/>
    </row>
    <row r="141" spans="6:6" ht="14.25" customHeight="1">
      <c r="F141" s="22"/>
    </row>
    <row r="142" spans="6:6" ht="14.25" customHeight="1">
      <c r="F142" s="22"/>
    </row>
    <row r="143" spans="6:6" ht="14.25" customHeight="1">
      <c r="F143" s="22"/>
    </row>
    <row r="144" spans="6:6" ht="14.25" customHeight="1">
      <c r="F144" s="22"/>
    </row>
    <row r="145" spans="6:6" ht="14.25" customHeight="1">
      <c r="F145" s="22"/>
    </row>
    <row r="146" spans="6:6" ht="14.25" customHeight="1">
      <c r="F146" s="22"/>
    </row>
    <row r="147" spans="6:6" ht="14.25" customHeight="1">
      <c r="F147" s="22"/>
    </row>
    <row r="148" spans="6:6" ht="14.25" customHeight="1">
      <c r="F148" s="22"/>
    </row>
    <row r="149" spans="6:6" ht="14.25" customHeight="1">
      <c r="F149" s="22"/>
    </row>
    <row r="150" spans="6:6" ht="14.25" customHeight="1">
      <c r="F150" s="22"/>
    </row>
    <row r="151" spans="6:6" ht="14.25" customHeight="1">
      <c r="F151" s="22"/>
    </row>
    <row r="152" spans="6:6" ht="14.25" customHeight="1">
      <c r="F152" s="22"/>
    </row>
    <row r="153" spans="6:6" ht="14.25" customHeight="1">
      <c r="F153" s="22"/>
    </row>
    <row r="154" spans="6:6" ht="14.25" customHeight="1">
      <c r="F154" s="22"/>
    </row>
    <row r="155" spans="6:6" ht="14.25" customHeight="1">
      <c r="F155" s="22"/>
    </row>
    <row r="156" spans="6:6" ht="14.25" customHeight="1">
      <c r="F156" s="22"/>
    </row>
    <row r="157" spans="6:6" ht="14.25" customHeight="1">
      <c r="F157" s="22"/>
    </row>
    <row r="158" spans="6:6" ht="14.25" customHeight="1">
      <c r="F158" s="22"/>
    </row>
    <row r="159" spans="6:6" ht="14.25" customHeight="1">
      <c r="F159" s="22"/>
    </row>
    <row r="160" spans="6:6" ht="14.25" customHeight="1">
      <c r="F160" s="22"/>
    </row>
    <row r="161" spans="6:6" ht="14.25" customHeight="1">
      <c r="F161" s="22"/>
    </row>
    <row r="162" spans="6:6" ht="14.25" customHeight="1">
      <c r="F162" s="22"/>
    </row>
    <row r="163" spans="6:6" ht="14.25" customHeight="1">
      <c r="F163" s="22"/>
    </row>
    <row r="164" spans="6:6" ht="14.25" customHeight="1">
      <c r="F164" s="22"/>
    </row>
    <row r="165" spans="6:6" ht="14.25" customHeight="1">
      <c r="F165" s="22"/>
    </row>
    <row r="166" spans="6:6" ht="14.25" customHeight="1">
      <c r="F166" s="22"/>
    </row>
    <row r="167" spans="6:6" ht="14.25" customHeight="1">
      <c r="F167" s="22"/>
    </row>
    <row r="168" spans="6:6" ht="14.25" customHeight="1">
      <c r="F168" s="22"/>
    </row>
    <row r="169" spans="6:6" ht="14.25" customHeight="1">
      <c r="F169" s="22"/>
    </row>
    <row r="170" spans="6:6" ht="14.25" customHeight="1">
      <c r="F170" s="22"/>
    </row>
    <row r="171" spans="6:6" ht="14.25" customHeight="1">
      <c r="F171" s="22"/>
    </row>
    <row r="172" spans="6:6" ht="14.25" customHeight="1">
      <c r="F172" s="22"/>
    </row>
    <row r="173" spans="6:6" ht="14.25" customHeight="1">
      <c r="F173" s="22"/>
    </row>
    <row r="174" spans="6:6" ht="14.25" customHeight="1">
      <c r="F174" s="22"/>
    </row>
    <row r="175" spans="6:6" ht="14.25" customHeight="1">
      <c r="F175" s="22"/>
    </row>
    <row r="176" spans="6:6" ht="14.25" customHeight="1">
      <c r="F176" s="22"/>
    </row>
    <row r="177" spans="6:6" ht="14.25" customHeight="1">
      <c r="F177" s="22"/>
    </row>
    <row r="178" spans="6:6" ht="14.25" customHeight="1">
      <c r="F178" s="22"/>
    </row>
    <row r="179" spans="6:6" ht="14.25" customHeight="1">
      <c r="F179" s="22"/>
    </row>
    <row r="180" spans="6:6" ht="14.25" customHeight="1">
      <c r="F180" s="22"/>
    </row>
    <row r="181" spans="6:6" ht="14.25" customHeight="1">
      <c r="F181" s="22"/>
    </row>
    <row r="182" spans="6:6" ht="14.25" customHeight="1">
      <c r="F182" s="22"/>
    </row>
    <row r="183" spans="6:6" ht="14.25" customHeight="1">
      <c r="F183" s="22"/>
    </row>
    <row r="184" spans="6:6" ht="14.25" customHeight="1">
      <c r="F184" s="22"/>
    </row>
    <row r="185" spans="6:6" ht="14.25" customHeight="1">
      <c r="F185" s="22"/>
    </row>
    <row r="186" spans="6:6" ht="14.25" customHeight="1">
      <c r="F186" s="22"/>
    </row>
    <row r="187" spans="6:6" ht="14.25" customHeight="1">
      <c r="F187" s="22"/>
    </row>
    <row r="188" spans="6:6" ht="14.25" customHeight="1">
      <c r="F188" s="22"/>
    </row>
    <row r="189" spans="6:6" ht="14.25" customHeight="1">
      <c r="F189" s="22"/>
    </row>
    <row r="190" spans="6:6" ht="14.25" customHeight="1">
      <c r="F190" s="22"/>
    </row>
    <row r="191" spans="6:6" ht="14.25" customHeight="1">
      <c r="F191" s="22"/>
    </row>
    <row r="192" spans="6:6" ht="14.25" customHeight="1">
      <c r="F192" s="22"/>
    </row>
    <row r="193" spans="6:6" ht="14.25" customHeight="1">
      <c r="F193" s="22"/>
    </row>
    <row r="194" spans="6:6" ht="14.25" customHeight="1">
      <c r="F194" s="22"/>
    </row>
    <row r="195" spans="6:6" ht="14.25" customHeight="1">
      <c r="F195" s="22"/>
    </row>
    <row r="196" spans="6:6" ht="14.25" customHeight="1">
      <c r="F196" s="22"/>
    </row>
    <row r="197" spans="6:6" ht="14.25" customHeight="1">
      <c r="F197" s="22"/>
    </row>
    <row r="198" spans="6:6" ht="14.25" customHeight="1">
      <c r="F198" s="22"/>
    </row>
    <row r="199" spans="6:6" ht="14.25" customHeight="1">
      <c r="F199" s="22"/>
    </row>
    <row r="200" spans="6:6" ht="14.25" customHeight="1">
      <c r="F200" s="22"/>
    </row>
    <row r="201" spans="6:6" ht="14.25" customHeight="1">
      <c r="F201" s="22"/>
    </row>
    <row r="202" spans="6:6" ht="14.25" customHeight="1">
      <c r="F202" s="22"/>
    </row>
    <row r="203" spans="6:6" ht="14.25" customHeight="1">
      <c r="F203" s="22"/>
    </row>
    <row r="204" spans="6:6" ht="14.25" customHeight="1">
      <c r="F204" s="22"/>
    </row>
    <row r="205" spans="6:6" ht="14.25" customHeight="1">
      <c r="F205" s="22"/>
    </row>
    <row r="206" spans="6:6" ht="14.25" customHeight="1">
      <c r="F206" s="22"/>
    </row>
    <row r="207" spans="6:6" ht="14.25" customHeight="1">
      <c r="F207" s="22"/>
    </row>
    <row r="208" spans="6:6" ht="14.25" customHeight="1">
      <c r="F208" s="22"/>
    </row>
    <row r="209" spans="6:6" ht="14.25" customHeight="1">
      <c r="F209" s="22"/>
    </row>
    <row r="210" spans="6:6" ht="14.25" customHeight="1">
      <c r="F210" s="22"/>
    </row>
    <row r="211" spans="6:6" ht="14.25" customHeight="1">
      <c r="F211" s="22"/>
    </row>
    <row r="212" spans="6:6" ht="14.25" customHeight="1">
      <c r="F212" s="22"/>
    </row>
    <row r="213" spans="6:6" ht="14.25" customHeight="1">
      <c r="F213" s="22"/>
    </row>
    <row r="214" spans="6:6" ht="14.25" customHeight="1">
      <c r="F214" s="22"/>
    </row>
    <row r="215" spans="6:6" ht="14.25" customHeight="1">
      <c r="F215" s="22"/>
    </row>
    <row r="216" spans="6:6" ht="14.25" customHeight="1">
      <c r="F216" s="22"/>
    </row>
    <row r="217" spans="6:6" ht="14.25" customHeight="1">
      <c r="F217" s="22"/>
    </row>
    <row r="218" spans="6:6" ht="14.25" customHeight="1">
      <c r="F218" s="22"/>
    </row>
    <row r="219" spans="6:6" ht="14.25" customHeight="1">
      <c r="F219" s="22"/>
    </row>
    <row r="220" spans="6:6" ht="14.25" customHeight="1">
      <c r="F220" s="22"/>
    </row>
    <row r="221" spans="6:6" ht="14.25" customHeight="1">
      <c r="F221" s="22"/>
    </row>
    <row r="222" spans="6:6" ht="14.25" customHeight="1">
      <c r="F222" s="22"/>
    </row>
    <row r="223" spans="6:6" ht="14.25" customHeight="1">
      <c r="F223" s="22"/>
    </row>
    <row r="224" spans="6:6" ht="14.25" customHeight="1">
      <c r="F224" s="22"/>
    </row>
    <row r="225" spans="6:6" ht="14.25" customHeight="1">
      <c r="F225" s="22"/>
    </row>
    <row r="226" spans="6:6" ht="14.25" customHeight="1">
      <c r="F226" s="22"/>
    </row>
    <row r="227" spans="6:6" ht="14.25" customHeight="1">
      <c r="F227" s="22"/>
    </row>
    <row r="228" spans="6:6" ht="14.25" customHeight="1">
      <c r="F228" s="22"/>
    </row>
    <row r="229" spans="6:6" ht="14.25" customHeight="1">
      <c r="F229" s="22"/>
    </row>
    <row r="230" spans="6:6" ht="14.25" customHeight="1">
      <c r="F230" s="22"/>
    </row>
    <row r="231" spans="6:6" ht="14.25" customHeight="1">
      <c r="F231" s="22"/>
    </row>
    <row r="232" spans="6:6" ht="14.25" customHeight="1">
      <c r="F232" s="22"/>
    </row>
    <row r="233" spans="6:6" ht="14.25" customHeight="1">
      <c r="F233" s="22"/>
    </row>
    <row r="234" spans="6:6" ht="14.25" customHeight="1">
      <c r="F234" s="22"/>
    </row>
    <row r="235" spans="6:6" ht="14.25" customHeight="1">
      <c r="F235" s="22"/>
    </row>
    <row r="236" spans="6:6" ht="14.25" customHeight="1">
      <c r="F236" s="22"/>
    </row>
    <row r="237" spans="6:6" ht="14.25" customHeight="1">
      <c r="F237" s="22"/>
    </row>
    <row r="238" spans="6:6" ht="14.25" customHeight="1">
      <c r="F238" s="22"/>
    </row>
    <row r="239" spans="6:6" ht="14.25" customHeight="1">
      <c r="F239" s="22"/>
    </row>
    <row r="240" spans="6:6" ht="14.25" customHeight="1">
      <c r="F240" s="22"/>
    </row>
    <row r="241" spans="6:6" ht="14.25" customHeight="1">
      <c r="F241" s="22"/>
    </row>
    <row r="242" spans="6:6" ht="14.25" customHeight="1">
      <c r="F242" s="22"/>
    </row>
    <row r="243" spans="6:6" ht="14.25" customHeight="1">
      <c r="F243" s="22"/>
    </row>
    <row r="244" spans="6:6" ht="14.25" customHeight="1">
      <c r="F244" s="22"/>
    </row>
    <row r="245" spans="6:6" ht="14.25" customHeight="1">
      <c r="F245" s="22"/>
    </row>
    <row r="246" spans="6:6" ht="14.25" customHeight="1">
      <c r="F246" s="22"/>
    </row>
    <row r="247" spans="6:6" ht="14.25" customHeight="1">
      <c r="F247" s="22"/>
    </row>
    <row r="248" spans="6:6" ht="14.25" customHeight="1">
      <c r="F248" s="22"/>
    </row>
    <row r="249" spans="6:6" ht="14.25" customHeight="1">
      <c r="F249" s="22"/>
    </row>
    <row r="250" spans="6:6" ht="14.25" customHeight="1">
      <c r="F250" s="22"/>
    </row>
    <row r="251" spans="6:6" ht="14.25" customHeight="1">
      <c r="F251" s="22"/>
    </row>
    <row r="252" spans="6:6" ht="14.25" customHeight="1">
      <c r="F252" s="22"/>
    </row>
    <row r="253" spans="6:6" ht="14.25" customHeight="1">
      <c r="F253" s="22"/>
    </row>
    <row r="254" spans="6:6" ht="14.25" customHeight="1">
      <c r="F254" s="22"/>
    </row>
    <row r="255" spans="6:6" ht="14.25" customHeight="1">
      <c r="F255" s="22"/>
    </row>
    <row r="256" spans="6:6" ht="14.25" customHeight="1">
      <c r="F256" s="22"/>
    </row>
    <row r="257" spans="6:6" ht="14.25" customHeight="1">
      <c r="F257" s="22"/>
    </row>
    <row r="258" spans="6:6" ht="14.25" customHeight="1">
      <c r="F258" s="22"/>
    </row>
    <row r="259" spans="6:6" ht="14.25" customHeight="1">
      <c r="F259" s="22"/>
    </row>
    <row r="260" spans="6:6" ht="14.25" customHeight="1">
      <c r="F260" s="22"/>
    </row>
    <row r="261" spans="6:6" ht="14.25" customHeight="1">
      <c r="F261" s="22"/>
    </row>
    <row r="262" spans="6:6" ht="14.25" customHeight="1">
      <c r="F262" s="22"/>
    </row>
    <row r="263" spans="6:6" ht="14.25" customHeight="1">
      <c r="F263" s="22"/>
    </row>
    <row r="264" spans="6:6" ht="14.25" customHeight="1">
      <c r="F264" s="22"/>
    </row>
    <row r="265" spans="6:6" ht="14.25" customHeight="1">
      <c r="F265" s="22"/>
    </row>
    <row r="266" spans="6:6" ht="14.25" customHeight="1">
      <c r="F266" s="22"/>
    </row>
    <row r="267" spans="6:6" ht="14.25" customHeight="1">
      <c r="F267" s="22"/>
    </row>
    <row r="268" spans="6:6" ht="14.25" customHeight="1">
      <c r="F268" s="22"/>
    </row>
    <row r="269" spans="6:6" ht="14.25" customHeight="1">
      <c r="F269" s="22"/>
    </row>
    <row r="270" spans="6:6" ht="14.25" customHeight="1">
      <c r="F270" s="22"/>
    </row>
    <row r="271" spans="6:6" ht="14.25" customHeight="1">
      <c r="F271" s="22"/>
    </row>
    <row r="272" spans="6:6" ht="14.25" customHeight="1">
      <c r="F272" s="22"/>
    </row>
    <row r="273" spans="6:6" ht="14.25" customHeight="1">
      <c r="F273" s="22"/>
    </row>
    <row r="274" spans="6:6" ht="14.25" customHeight="1">
      <c r="F274" s="22"/>
    </row>
    <row r="275" spans="6:6" ht="14.25" customHeight="1">
      <c r="F275" s="22"/>
    </row>
    <row r="276" spans="6:6" ht="14.25" customHeight="1">
      <c r="F276" s="22"/>
    </row>
    <row r="277" spans="6:6" ht="14.25" customHeight="1">
      <c r="F277" s="22"/>
    </row>
    <row r="278" spans="6:6" ht="14.25" customHeight="1">
      <c r="F278" s="22"/>
    </row>
    <row r="279" spans="6:6" ht="14.25" customHeight="1">
      <c r="F279" s="22"/>
    </row>
    <row r="280" spans="6:6" ht="14.25" customHeight="1">
      <c r="F280" s="22"/>
    </row>
    <row r="281" spans="6:6" ht="14.25" customHeight="1">
      <c r="F281" s="22"/>
    </row>
    <row r="282" spans="6:6" ht="14.25" customHeight="1">
      <c r="F282" s="22"/>
    </row>
    <row r="283" spans="6:6" ht="14.25" customHeight="1">
      <c r="F283" s="22"/>
    </row>
    <row r="284" spans="6:6" ht="14.25" customHeight="1">
      <c r="F284" s="22"/>
    </row>
    <row r="285" spans="6:6" ht="14.25" customHeight="1">
      <c r="F285" s="22"/>
    </row>
    <row r="286" spans="6:6" ht="14.25" customHeight="1">
      <c r="F286" s="22"/>
    </row>
    <row r="287" spans="6:6" ht="14.25" customHeight="1">
      <c r="F287" s="22"/>
    </row>
    <row r="288" spans="6:6" ht="14.25" customHeight="1">
      <c r="F288" s="22"/>
    </row>
    <row r="289" spans="6:6" ht="14.25" customHeight="1">
      <c r="F289" s="22"/>
    </row>
    <row r="290" spans="6:6" ht="14.25" customHeight="1">
      <c r="F290" s="22"/>
    </row>
    <row r="291" spans="6:6" ht="14.25" customHeight="1">
      <c r="F291" s="22"/>
    </row>
    <row r="292" spans="6:6" ht="14.25" customHeight="1">
      <c r="F292" s="22"/>
    </row>
    <row r="293" spans="6:6" ht="14.25" customHeight="1">
      <c r="F293" s="22"/>
    </row>
    <row r="294" spans="6:6" ht="14.25" customHeight="1">
      <c r="F294" s="22"/>
    </row>
    <row r="295" spans="6:6" ht="14.25" customHeight="1">
      <c r="F295" s="22"/>
    </row>
    <row r="296" spans="6:6" ht="14.25" customHeight="1">
      <c r="F296" s="22"/>
    </row>
    <row r="297" spans="6:6" ht="14.25" customHeight="1">
      <c r="F297" s="22"/>
    </row>
    <row r="298" spans="6:6" ht="14.25" customHeight="1">
      <c r="F298" s="22"/>
    </row>
    <row r="299" spans="6:6" ht="14.25" customHeight="1">
      <c r="F299" s="22"/>
    </row>
    <row r="300" spans="6:6" ht="14.25" customHeight="1">
      <c r="F300" s="22"/>
    </row>
    <row r="301" spans="6:6" ht="14.25" customHeight="1">
      <c r="F301" s="22"/>
    </row>
    <row r="302" spans="6:6" ht="14.25" customHeight="1">
      <c r="F302" s="22"/>
    </row>
    <row r="303" spans="6:6" ht="14.25" customHeight="1">
      <c r="F303" s="22"/>
    </row>
    <row r="304" spans="6:6" ht="14.25" customHeight="1">
      <c r="F304" s="22"/>
    </row>
    <row r="305" spans="6:6" ht="14.25" customHeight="1">
      <c r="F305" s="22"/>
    </row>
    <row r="306" spans="6:6" ht="14.25" customHeight="1">
      <c r="F306" s="22"/>
    </row>
    <row r="307" spans="6:6" ht="14.25" customHeight="1">
      <c r="F307" s="22"/>
    </row>
    <row r="308" spans="6:6" ht="14.25" customHeight="1">
      <c r="F308" s="22"/>
    </row>
    <row r="309" spans="6:6" ht="14.25" customHeight="1">
      <c r="F309" s="22"/>
    </row>
    <row r="310" spans="6:6" ht="14.25" customHeight="1">
      <c r="F310" s="22"/>
    </row>
    <row r="311" spans="6:6" ht="14.25" customHeight="1">
      <c r="F311" s="22"/>
    </row>
    <row r="312" spans="6:6" ht="14.25" customHeight="1">
      <c r="F312" s="22"/>
    </row>
    <row r="313" spans="6:6" ht="14.25" customHeight="1">
      <c r="F313" s="22"/>
    </row>
    <row r="314" spans="6:6" ht="14.25" customHeight="1">
      <c r="F314" s="22"/>
    </row>
    <row r="315" spans="6:6" ht="14.25" customHeight="1">
      <c r="F315" s="22"/>
    </row>
    <row r="316" spans="6:6" ht="14.25" customHeight="1">
      <c r="F316" s="22"/>
    </row>
    <row r="317" spans="6:6" ht="14.25" customHeight="1">
      <c r="F317" s="22"/>
    </row>
    <row r="318" spans="6:6" ht="14.25" customHeight="1">
      <c r="F318" s="22"/>
    </row>
    <row r="319" spans="6:6" ht="14.25" customHeight="1">
      <c r="F319" s="22"/>
    </row>
    <row r="320" spans="6:6" ht="14.25" customHeight="1">
      <c r="F320" s="22"/>
    </row>
    <row r="321" spans="6:6" ht="14.25" customHeight="1">
      <c r="F321" s="22"/>
    </row>
    <row r="322" spans="6:6" ht="14.25" customHeight="1">
      <c r="F322" s="22"/>
    </row>
    <row r="323" spans="6:6" ht="14.25" customHeight="1">
      <c r="F323" s="22"/>
    </row>
    <row r="324" spans="6:6" ht="14.25" customHeight="1">
      <c r="F324" s="22"/>
    </row>
    <row r="325" spans="6:6" ht="14.25" customHeight="1">
      <c r="F325" s="22"/>
    </row>
    <row r="326" spans="6:6" ht="14.25" customHeight="1">
      <c r="F326" s="22"/>
    </row>
    <row r="327" spans="6:6" ht="14.25" customHeight="1">
      <c r="F327" s="22"/>
    </row>
    <row r="328" spans="6:6" ht="14.25" customHeight="1">
      <c r="F328" s="22"/>
    </row>
    <row r="329" spans="6:6" ht="14.25" customHeight="1">
      <c r="F329" s="22"/>
    </row>
    <row r="330" spans="6:6" ht="14.25" customHeight="1">
      <c r="F330" s="22"/>
    </row>
    <row r="331" spans="6:6" ht="14.25" customHeight="1">
      <c r="F331" s="22"/>
    </row>
    <row r="332" spans="6:6" ht="14.25" customHeight="1">
      <c r="F332" s="22"/>
    </row>
    <row r="333" spans="6:6" ht="14.25" customHeight="1">
      <c r="F333" s="22"/>
    </row>
    <row r="334" spans="6:6" ht="14.25" customHeight="1">
      <c r="F334" s="22"/>
    </row>
    <row r="335" spans="6:6" ht="14.25" customHeight="1">
      <c r="F335" s="22"/>
    </row>
    <row r="336" spans="6:6" ht="14.25" customHeight="1">
      <c r="F336" s="22"/>
    </row>
    <row r="337" spans="6:6" ht="14.25" customHeight="1">
      <c r="F337" s="22"/>
    </row>
    <row r="338" spans="6:6" ht="14.25" customHeight="1">
      <c r="F338" s="22"/>
    </row>
    <row r="339" spans="6:6" ht="14.25" customHeight="1">
      <c r="F339" s="22"/>
    </row>
    <row r="340" spans="6:6" ht="14.25" customHeight="1">
      <c r="F340" s="22"/>
    </row>
    <row r="341" spans="6:6" ht="14.25" customHeight="1">
      <c r="F341" s="22"/>
    </row>
    <row r="342" spans="6:6" ht="14.25" customHeight="1">
      <c r="F342" s="22"/>
    </row>
    <row r="343" spans="6:6" ht="14.25" customHeight="1">
      <c r="F343" s="22"/>
    </row>
    <row r="344" spans="6:6" ht="14.25" customHeight="1">
      <c r="F344" s="22"/>
    </row>
    <row r="345" spans="6:6" ht="14.25" customHeight="1">
      <c r="F345" s="22"/>
    </row>
    <row r="346" spans="6:6" ht="14.25" customHeight="1">
      <c r="F346" s="22"/>
    </row>
    <row r="347" spans="6:6" ht="14.25" customHeight="1">
      <c r="F347" s="22"/>
    </row>
    <row r="348" spans="6:6" ht="14.25" customHeight="1">
      <c r="F348" s="22"/>
    </row>
    <row r="349" spans="6:6" ht="14.25" customHeight="1">
      <c r="F349" s="22"/>
    </row>
    <row r="350" spans="6:6" ht="14.25" customHeight="1">
      <c r="F350" s="22"/>
    </row>
    <row r="351" spans="6:6" ht="14.25" customHeight="1">
      <c r="F351" s="22"/>
    </row>
    <row r="352" spans="6:6" ht="14.25" customHeight="1">
      <c r="F352" s="22"/>
    </row>
    <row r="353" spans="6:6" ht="14.25" customHeight="1">
      <c r="F353" s="22"/>
    </row>
    <row r="354" spans="6:6" ht="14.25" customHeight="1">
      <c r="F354" s="22"/>
    </row>
    <row r="355" spans="6:6" ht="14.25" customHeight="1">
      <c r="F355" s="22"/>
    </row>
    <row r="356" spans="6:6" ht="14.25" customHeight="1">
      <c r="F356" s="22"/>
    </row>
    <row r="357" spans="6:6" ht="14.25" customHeight="1">
      <c r="F357" s="22"/>
    </row>
    <row r="358" spans="6:6" ht="14.25" customHeight="1">
      <c r="F358" s="22"/>
    </row>
    <row r="359" spans="6:6" ht="14.25" customHeight="1">
      <c r="F359" s="22"/>
    </row>
    <row r="360" spans="6:6" ht="14.25" customHeight="1">
      <c r="F360" s="22"/>
    </row>
    <row r="361" spans="6:6" ht="14.25" customHeight="1">
      <c r="F361" s="22"/>
    </row>
    <row r="362" spans="6:6" ht="14.25" customHeight="1">
      <c r="F362" s="22"/>
    </row>
    <row r="363" spans="6:6" ht="14.25" customHeight="1">
      <c r="F363" s="22"/>
    </row>
    <row r="364" spans="6:6" ht="14.25" customHeight="1">
      <c r="F364" s="22"/>
    </row>
    <row r="365" spans="6:6" ht="14.25" customHeight="1">
      <c r="F365" s="22"/>
    </row>
    <row r="366" spans="6:6" ht="14.25" customHeight="1">
      <c r="F366" s="22"/>
    </row>
    <row r="367" spans="6:6" ht="14.25" customHeight="1">
      <c r="F367" s="22"/>
    </row>
    <row r="368" spans="6:6" ht="14.25" customHeight="1">
      <c r="F368" s="22"/>
    </row>
    <row r="369" spans="6:6" ht="14.25" customHeight="1">
      <c r="F369" s="22"/>
    </row>
    <row r="370" spans="6:6" ht="14.25" customHeight="1">
      <c r="F370" s="22"/>
    </row>
    <row r="371" spans="6:6" ht="14.25" customHeight="1">
      <c r="F371" s="22"/>
    </row>
    <row r="372" spans="6:6" ht="14.25" customHeight="1">
      <c r="F372" s="22"/>
    </row>
    <row r="373" spans="6:6" ht="14.25" customHeight="1">
      <c r="F373" s="22"/>
    </row>
    <row r="374" spans="6:6" ht="14.25" customHeight="1">
      <c r="F374" s="22"/>
    </row>
    <row r="375" spans="6:6" ht="14.25" customHeight="1">
      <c r="F375" s="22"/>
    </row>
    <row r="376" spans="6:6" ht="14.25" customHeight="1">
      <c r="F376" s="22"/>
    </row>
    <row r="377" spans="6:6" ht="14.25" customHeight="1">
      <c r="F377" s="22"/>
    </row>
    <row r="378" spans="6:6" ht="14.25" customHeight="1">
      <c r="F378" s="22"/>
    </row>
    <row r="379" spans="6:6" ht="14.25" customHeight="1">
      <c r="F379" s="22"/>
    </row>
    <row r="380" spans="6:6" ht="14.25" customHeight="1">
      <c r="F380" s="22"/>
    </row>
    <row r="381" spans="6:6" ht="14.25" customHeight="1">
      <c r="F381" s="22"/>
    </row>
    <row r="382" spans="6:6" ht="14.25" customHeight="1">
      <c r="F382" s="22"/>
    </row>
    <row r="383" spans="6:6" ht="14.25" customHeight="1">
      <c r="F383" s="22"/>
    </row>
    <row r="384" spans="6:6" ht="14.25" customHeight="1">
      <c r="F384" s="22"/>
    </row>
    <row r="385" spans="6:6" ht="14.25" customHeight="1">
      <c r="F385" s="22"/>
    </row>
    <row r="386" spans="6:6" ht="14.25" customHeight="1">
      <c r="F386" s="22"/>
    </row>
    <row r="387" spans="6:6" ht="14.25" customHeight="1">
      <c r="F387" s="22"/>
    </row>
    <row r="388" spans="6:6" ht="14.25" customHeight="1">
      <c r="F388" s="22"/>
    </row>
    <row r="389" spans="6:6" ht="14.25" customHeight="1">
      <c r="F389" s="22"/>
    </row>
    <row r="390" spans="6:6" ht="14.25" customHeight="1">
      <c r="F390" s="22"/>
    </row>
    <row r="391" spans="6:6" ht="14.25" customHeight="1">
      <c r="F391" s="22"/>
    </row>
    <row r="392" spans="6:6" ht="14.25" customHeight="1">
      <c r="F392" s="22"/>
    </row>
    <row r="393" spans="6:6" ht="14.25" customHeight="1">
      <c r="F393" s="22"/>
    </row>
    <row r="394" spans="6:6" ht="14.25" customHeight="1">
      <c r="F394" s="22"/>
    </row>
    <row r="395" spans="6:6" ht="14.25" customHeight="1">
      <c r="F395" s="22"/>
    </row>
    <row r="396" spans="6:6" ht="14.25" customHeight="1">
      <c r="F396" s="22"/>
    </row>
    <row r="397" spans="6:6" ht="14.25" customHeight="1">
      <c r="F397" s="22"/>
    </row>
    <row r="398" spans="6:6" ht="14.25" customHeight="1">
      <c r="F398" s="22"/>
    </row>
    <row r="399" spans="6:6" ht="14.25" customHeight="1">
      <c r="F399" s="22"/>
    </row>
    <row r="400" spans="6:6" ht="14.25" customHeight="1">
      <c r="F400" s="22"/>
    </row>
    <row r="401" spans="6:6" ht="14.25" customHeight="1">
      <c r="F401" s="22"/>
    </row>
    <row r="402" spans="6:6" ht="14.25" customHeight="1">
      <c r="F402" s="22"/>
    </row>
    <row r="403" spans="6:6" ht="14.25" customHeight="1">
      <c r="F403" s="22"/>
    </row>
    <row r="404" spans="6:6" ht="14.25" customHeight="1">
      <c r="F404" s="22"/>
    </row>
    <row r="405" spans="6:6" ht="14.25" customHeight="1">
      <c r="F405" s="22"/>
    </row>
    <row r="406" spans="6:6" ht="14.25" customHeight="1">
      <c r="F406" s="22"/>
    </row>
    <row r="407" spans="6:6" ht="14.25" customHeight="1">
      <c r="F407" s="22"/>
    </row>
    <row r="408" spans="6:6" ht="14.25" customHeight="1">
      <c r="F408" s="22"/>
    </row>
    <row r="409" spans="6:6" ht="14.25" customHeight="1">
      <c r="F409" s="22"/>
    </row>
    <row r="410" spans="6:6" ht="14.25" customHeight="1">
      <c r="F410" s="22"/>
    </row>
    <row r="411" spans="6:6" ht="14.25" customHeight="1">
      <c r="F411" s="22"/>
    </row>
    <row r="412" spans="6:6" ht="14.25" customHeight="1">
      <c r="F412" s="22"/>
    </row>
    <row r="413" spans="6:6" ht="14.25" customHeight="1">
      <c r="F413" s="22"/>
    </row>
    <row r="414" spans="6:6" ht="14.25" customHeight="1">
      <c r="F414" s="22"/>
    </row>
    <row r="415" spans="6:6" ht="14.25" customHeight="1">
      <c r="F415" s="22"/>
    </row>
    <row r="416" spans="6:6" ht="14.25" customHeight="1">
      <c r="F416" s="22"/>
    </row>
    <row r="417" spans="6:6" ht="14.25" customHeight="1">
      <c r="F417" s="22"/>
    </row>
    <row r="418" spans="6:6" ht="14.25" customHeight="1">
      <c r="F418" s="22"/>
    </row>
    <row r="419" spans="6:6" ht="14.25" customHeight="1">
      <c r="F419" s="22"/>
    </row>
    <row r="420" spans="6:6" ht="14.25" customHeight="1">
      <c r="F420" s="22"/>
    </row>
    <row r="421" spans="6:6" ht="14.25" customHeight="1">
      <c r="F421" s="22"/>
    </row>
    <row r="422" spans="6:6" ht="14.25" customHeight="1">
      <c r="F422" s="22"/>
    </row>
    <row r="423" spans="6:6" ht="14.25" customHeight="1">
      <c r="F423" s="22"/>
    </row>
    <row r="424" spans="6:6" ht="14.25" customHeight="1">
      <c r="F424" s="22"/>
    </row>
    <row r="425" spans="6:6" ht="14.25" customHeight="1">
      <c r="F425" s="22"/>
    </row>
    <row r="426" spans="6:6" ht="14.25" customHeight="1">
      <c r="F426" s="22"/>
    </row>
    <row r="427" spans="6:6" ht="14.25" customHeight="1">
      <c r="F427" s="22"/>
    </row>
    <row r="428" spans="6:6" ht="14.25" customHeight="1">
      <c r="F428" s="22"/>
    </row>
    <row r="429" spans="6:6" ht="14.25" customHeight="1">
      <c r="F429" s="22"/>
    </row>
    <row r="430" spans="6:6" ht="14.25" customHeight="1">
      <c r="F430" s="22"/>
    </row>
    <row r="431" spans="6:6" ht="14.25" customHeight="1">
      <c r="F431" s="22"/>
    </row>
    <row r="432" spans="6:6" ht="14.25" customHeight="1">
      <c r="F432" s="22"/>
    </row>
    <row r="433" spans="6:6" ht="14.25" customHeight="1">
      <c r="F433" s="22"/>
    </row>
    <row r="434" spans="6:6" ht="14.25" customHeight="1">
      <c r="F434" s="22"/>
    </row>
    <row r="435" spans="6:6" ht="14.25" customHeight="1">
      <c r="F435" s="22"/>
    </row>
    <row r="436" spans="6:6" ht="14.25" customHeight="1">
      <c r="F436" s="22"/>
    </row>
    <row r="437" spans="6:6" ht="14.25" customHeight="1">
      <c r="F437" s="22"/>
    </row>
    <row r="438" spans="6:6" ht="14.25" customHeight="1">
      <c r="F438" s="22"/>
    </row>
    <row r="439" spans="6:6" ht="14.25" customHeight="1">
      <c r="F439" s="22"/>
    </row>
    <row r="440" spans="6:6" ht="14.25" customHeight="1">
      <c r="F440" s="22"/>
    </row>
    <row r="441" spans="6:6" ht="14.25" customHeight="1">
      <c r="F441" s="22"/>
    </row>
    <row r="442" spans="6:6" ht="14.25" customHeight="1">
      <c r="F442" s="22"/>
    </row>
    <row r="443" spans="6:6" ht="14.25" customHeight="1">
      <c r="F443" s="22"/>
    </row>
    <row r="444" spans="6:6" ht="14.25" customHeight="1">
      <c r="F444" s="22"/>
    </row>
    <row r="445" spans="6:6" ht="14.25" customHeight="1">
      <c r="F445" s="22"/>
    </row>
    <row r="446" spans="6:6" ht="14.25" customHeight="1">
      <c r="F446" s="22"/>
    </row>
    <row r="447" spans="6:6" ht="14.25" customHeight="1">
      <c r="F447" s="22"/>
    </row>
    <row r="448" spans="6:6" ht="14.25" customHeight="1">
      <c r="F448" s="22"/>
    </row>
    <row r="449" spans="6:6" ht="14.25" customHeight="1">
      <c r="F449" s="22"/>
    </row>
    <row r="450" spans="6:6" ht="14.25" customHeight="1">
      <c r="F450" s="22"/>
    </row>
    <row r="451" spans="6:6" ht="14.25" customHeight="1">
      <c r="F451" s="22"/>
    </row>
    <row r="452" spans="6:6" ht="14.25" customHeight="1">
      <c r="F452" s="22"/>
    </row>
    <row r="453" spans="6:6" ht="14.25" customHeight="1">
      <c r="F453" s="22"/>
    </row>
    <row r="454" spans="6:6" ht="14.25" customHeight="1">
      <c r="F454" s="22"/>
    </row>
    <row r="455" spans="6:6" ht="14.25" customHeight="1">
      <c r="F455" s="22"/>
    </row>
    <row r="456" spans="6:6" ht="14.25" customHeight="1">
      <c r="F456" s="22"/>
    </row>
    <row r="457" spans="6:6" ht="14.25" customHeight="1">
      <c r="F457" s="22"/>
    </row>
    <row r="458" spans="6:6" ht="14.25" customHeight="1">
      <c r="F458" s="22"/>
    </row>
    <row r="459" spans="6:6" ht="14.25" customHeight="1">
      <c r="F459" s="22"/>
    </row>
    <row r="460" spans="6:6" ht="14.25" customHeight="1">
      <c r="F460" s="22"/>
    </row>
    <row r="461" spans="6:6" ht="14.25" customHeight="1">
      <c r="F461" s="22"/>
    </row>
    <row r="462" spans="6:6" ht="14.25" customHeight="1">
      <c r="F462" s="22"/>
    </row>
    <row r="463" spans="6:6" ht="14.25" customHeight="1">
      <c r="F463" s="22"/>
    </row>
    <row r="464" spans="6:6" ht="14.25" customHeight="1">
      <c r="F464" s="22"/>
    </row>
    <row r="465" spans="6:6" ht="14.25" customHeight="1">
      <c r="F465" s="22"/>
    </row>
    <row r="466" spans="6:6" ht="14.25" customHeight="1">
      <c r="F466" s="22"/>
    </row>
    <row r="467" spans="6:6" ht="14.25" customHeight="1">
      <c r="F467" s="22"/>
    </row>
    <row r="468" spans="6:6" ht="14.25" customHeight="1">
      <c r="F468" s="22"/>
    </row>
    <row r="469" spans="6:6" ht="14.25" customHeight="1">
      <c r="F469" s="22"/>
    </row>
    <row r="470" spans="6:6" ht="14.25" customHeight="1">
      <c r="F470" s="22"/>
    </row>
    <row r="471" spans="6:6" ht="14.25" customHeight="1">
      <c r="F471" s="22"/>
    </row>
    <row r="472" spans="6:6" ht="14.25" customHeight="1">
      <c r="F472" s="22"/>
    </row>
    <row r="473" spans="6:6" ht="14.25" customHeight="1">
      <c r="F473" s="22"/>
    </row>
    <row r="474" spans="6:6" ht="14.25" customHeight="1">
      <c r="F474" s="22"/>
    </row>
    <row r="475" spans="6:6" ht="14.25" customHeight="1">
      <c r="F475" s="22"/>
    </row>
    <row r="476" spans="6:6" ht="14.25" customHeight="1">
      <c r="F476" s="22"/>
    </row>
    <row r="477" spans="6:6" ht="14.25" customHeight="1">
      <c r="F477" s="22"/>
    </row>
    <row r="478" spans="6:6" ht="14.25" customHeight="1">
      <c r="F478" s="22"/>
    </row>
    <row r="479" spans="6:6" ht="14.25" customHeight="1">
      <c r="F479" s="22"/>
    </row>
    <row r="480" spans="6:6" ht="14.25" customHeight="1">
      <c r="F480" s="22"/>
    </row>
    <row r="481" spans="6:6" ht="14.25" customHeight="1">
      <c r="F481" s="22"/>
    </row>
    <row r="482" spans="6:6" ht="14.25" customHeight="1">
      <c r="F482" s="22"/>
    </row>
    <row r="483" spans="6:6" ht="14.25" customHeight="1">
      <c r="F483" s="22"/>
    </row>
    <row r="484" spans="6:6" ht="14.25" customHeight="1">
      <c r="F484" s="22"/>
    </row>
    <row r="485" spans="6:6" ht="14.25" customHeight="1">
      <c r="F485" s="22"/>
    </row>
    <row r="486" spans="6:6" ht="14.25" customHeight="1">
      <c r="F486" s="22"/>
    </row>
    <row r="487" spans="6:6" ht="14.25" customHeight="1">
      <c r="F487" s="22"/>
    </row>
    <row r="488" spans="6:6" ht="14.25" customHeight="1">
      <c r="F488" s="22"/>
    </row>
    <row r="489" spans="6:6" ht="14.25" customHeight="1">
      <c r="F489" s="22"/>
    </row>
    <row r="490" spans="6:6" ht="14.25" customHeight="1">
      <c r="F490" s="22"/>
    </row>
    <row r="491" spans="6:6" ht="14.25" customHeight="1">
      <c r="F491" s="22"/>
    </row>
    <row r="492" spans="6:6" ht="14.25" customHeight="1">
      <c r="F492" s="22"/>
    </row>
    <row r="493" spans="6:6" ht="14.25" customHeight="1">
      <c r="F493" s="22"/>
    </row>
    <row r="494" spans="6:6" ht="14.25" customHeight="1">
      <c r="F494" s="22"/>
    </row>
    <row r="495" spans="6:6" ht="14.25" customHeight="1">
      <c r="F495" s="22"/>
    </row>
    <row r="496" spans="6:6" ht="14.25" customHeight="1">
      <c r="F496" s="22"/>
    </row>
    <row r="497" spans="6:6" ht="14.25" customHeight="1">
      <c r="F497" s="22"/>
    </row>
    <row r="498" spans="6:6" ht="14.25" customHeight="1">
      <c r="F498" s="22"/>
    </row>
    <row r="499" spans="6:6" ht="14.25" customHeight="1">
      <c r="F499" s="22"/>
    </row>
    <row r="500" spans="6:6" ht="14.25" customHeight="1">
      <c r="F500" s="22"/>
    </row>
    <row r="501" spans="6:6" ht="14.25" customHeight="1">
      <c r="F501" s="22"/>
    </row>
    <row r="502" spans="6:6" ht="14.25" customHeight="1">
      <c r="F502" s="22"/>
    </row>
    <row r="503" spans="6:6" ht="14.25" customHeight="1">
      <c r="F503" s="22"/>
    </row>
    <row r="504" spans="6:6" ht="14.25" customHeight="1">
      <c r="F504" s="22"/>
    </row>
    <row r="505" spans="6:6" ht="14.25" customHeight="1">
      <c r="F505" s="22"/>
    </row>
    <row r="506" spans="6:6" ht="14.25" customHeight="1">
      <c r="F506" s="22"/>
    </row>
    <row r="507" spans="6:6" ht="14.25" customHeight="1">
      <c r="F507" s="22"/>
    </row>
    <row r="508" spans="6:6" ht="14.25" customHeight="1">
      <c r="F508" s="22"/>
    </row>
    <row r="509" spans="6:6" ht="14.25" customHeight="1">
      <c r="F509" s="22"/>
    </row>
    <row r="510" spans="6:6" ht="14.25" customHeight="1">
      <c r="F510" s="22"/>
    </row>
    <row r="511" spans="6:6" ht="14.25" customHeight="1">
      <c r="F511" s="22"/>
    </row>
    <row r="512" spans="6:6" ht="14.25" customHeight="1">
      <c r="F512" s="22"/>
    </row>
    <row r="513" spans="6:6" ht="14.25" customHeight="1">
      <c r="F513" s="22"/>
    </row>
    <row r="514" spans="6:6" ht="14.25" customHeight="1">
      <c r="F514" s="22"/>
    </row>
    <row r="515" spans="6:6" ht="14.25" customHeight="1">
      <c r="F515" s="22"/>
    </row>
    <row r="516" spans="6:6" ht="14.25" customHeight="1">
      <c r="F516" s="22"/>
    </row>
    <row r="517" spans="6:6" ht="14.25" customHeight="1">
      <c r="F517" s="22"/>
    </row>
    <row r="518" spans="6:6" ht="14.25" customHeight="1">
      <c r="F518" s="22"/>
    </row>
    <row r="519" spans="6:6" ht="14.25" customHeight="1">
      <c r="F519" s="22"/>
    </row>
    <row r="520" spans="6:6" ht="14.25" customHeight="1">
      <c r="F520" s="22"/>
    </row>
    <row r="521" spans="6:6" ht="14.25" customHeight="1">
      <c r="F521" s="22"/>
    </row>
    <row r="522" spans="6:6" ht="14.25" customHeight="1">
      <c r="F522" s="22"/>
    </row>
    <row r="523" spans="6:6" ht="14.25" customHeight="1">
      <c r="F523" s="22"/>
    </row>
    <row r="524" spans="6:6" ht="14.25" customHeight="1">
      <c r="F524" s="22"/>
    </row>
    <row r="525" spans="6:6" ht="14.25" customHeight="1">
      <c r="F525" s="22"/>
    </row>
    <row r="526" spans="6:6" ht="14.25" customHeight="1">
      <c r="F526" s="22"/>
    </row>
    <row r="527" spans="6:6" ht="14.25" customHeight="1">
      <c r="F527" s="22"/>
    </row>
    <row r="528" spans="6:6" ht="14.25" customHeight="1">
      <c r="F528" s="22"/>
    </row>
    <row r="529" spans="6:6" ht="14.25" customHeight="1">
      <c r="F529" s="22"/>
    </row>
    <row r="530" spans="6:6" ht="14.25" customHeight="1">
      <c r="F530" s="22"/>
    </row>
    <row r="531" spans="6:6" ht="14.25" customHeight="1">
      <c r="F531" s="22"/>
    </row>
    <row r="532" spans="6:6" ht="14.25" customHeight="1">
      <c r="F532" s="22"/>
    </row>
    <row r="533" spans="6:6" ht="14.25" customHeight="1">
      <c r="F533" s="22"/>
    </row>
    <row r="534" spans="6:6" ht="14.25" customHeight="1">
      <c r="F534" s="22"/>
    </row>
    <row r="535" spans="6:6" ht="14.25" customHeight="1">
      <c r="F535" s="22"/>
    </row>
    <row r="536" spans="6:6" ht="14.25" customHeight="1">
      <c r="F536" s="22"/>
    </row>
    <row r="537" spans="6:6" ht="14.25" customHeight="1">
      <c r="F537" s="22"/>
    </row>
    <row r="538" spans="6:6" ht="14.25" customHeight="1">
      <c r="F538" s="22"/>
    </row>
    <row r="539" spans="6:6" ht="14.25" customHeight="1">
      <c r="F539" s="22"/>
    </row>
    <row r="540" spans="6:6" ht="14.25" customHeight="1">
      <c r="F540" s="22"/>
    </row>
    <row r="541" spans="6:6" ht="14.25" customHeight="1">
      <c r="F541" s="22"/>
    </row>
    <row r="542" spans="6:6" ht="14.25" customHeight="1">
      <c r="F542" s="22"/>
    </row>
    <row r="543" spans="6:6" ht="14.25" customHeight="1">
      <c r="F543" s="22"/>
    </row>
    <row r="544" spans="6:6" ht="14.25" customHeight="1">
      <c r="F544" s="22"/>
    </row>
    <row r="545" spans="6:6" ht="14.25" customHeight="1">
      <c r="F545" s="22"/>
    </row>
    <row r="546" spans="6:6" ht="14.25" customHeight="1">
      <c r="F546" s="22"/>
    </row>
    <row r="547" spans="6:6" ht="14.25" customHeight="1">
      <c r="F547" s="22"/>
    </row>
    <row r="548" spans="6:6" ht="14.25" customHeight="1">
      <c r="F548" s="22"/>
    </row>
    <row r="549" spans="6:6" ht="14.25" customHeight="1">
      <c r="F549" s="22"/>
    </row>
    <row r="550" spans="6:6" ht="14.25" customHeight="1">
      <c r="F550" s="22"/>
    </row>
    <row r="551" spans="6:6" ht="14.25" customHeight="1">
      <c r="F551" s="22"/>
    </row>
    <row r="552" spans="6:6" ht="14.25" customHeight="1">
      <c r="F552" s="22"/>
    </row>
    <row r="553" spans="6:6" ht="14.25" customHeight="1">
      <c r="F553" s="22"/>
    </row>
    <row r="554" spans="6:6" ht="14.25" customHeight="1">
      <c r="F554" s="22"/>
    </row>
    <row r="555" spans="6:6" ht="14.25" customHeight="1">
      <c r="F555" s="22"/>
    </row>
    <row r="556" spans="6:6" ht="14.25" customHeight="1">
      <c r="F556" s="22"/>
    </row>
    <row r="557" spans="6:6" ht="14.25" customHeight="1">
      <c r="F557" s="22"/>
    </row>
    <row r="558" spans="6:6" ht="14.25" customHeight="1">
      <c r="F558" s="22"/>
    </row>
    <row r="559" spans="6:6" ht="14.25" customHeight="1">
      <c r="F559" s="22"/>
    </row>
    <row r="560" spans="6:6" ht="14.25" customHeight="1">
      <c r="F560" s="22"/>
    </row>
    <row r="561" spans="6:6" ht="14.25" customHeight="1">
      <c r="F561" s="22"/>
    </row>
    <row r="562" spans="6:6" ht="14.25" customHeight="1">
      <c r="F562" s="22"/>
    </row>
    <row r="563" spans="6:6" ht="14.25" customHeight="1">
      <c r="F563" s="22"/>
    </row>
    <row r="564" spans="6:6" ht="14.25" customHeight="1">
      <c r="F564" s="22"/>
    </row>
    <row r="565" spans="6:6" ht="14.25" customHeight="1">
      <c r="F565" s="22"/>
    </row>
    <row r="566" spans="6:6" ht="14.25" customHeight="1">
      <c r="F566" s="22"/>
    </row>
    <row r="567" spans="6:6" ht="14.25" customHeight="1">
      <c r="F567" s="22"/>
    </row>
    <row r="568" spans="6:6" ht="14.25" customHeight="1">
      <c r="F568" s="22"/>
    </row>
    <row r="569" spans="6:6" ht="14.25" customHeight="1">
      <c r="F569" s="22"/>
    </row>
    <row r="570" spans="6:6" ht="14.25" customHeight="1">
      <c r="F570" s="22"/>
    </row>
    <row r="571" spans="6:6" ht="14.25" customHeight="1">
      <c r="F571" s="22"/>
    </row>
    <row r="572" spans="6:6" ht="14.25" customHeight="1">
      <c r="F572" s="22"/>
    </row>
    <row r="573" spans="6:6" ht="14.25" customHeight="1">
      <c r="F573" s="22"/>
    </row>
    <row r="574" spans="6:6" ht="14.25" customHeight="1">
      <c r="F574" s="22"/>
    </row>
    <row r="575" spans="6:6" ht="14.25" customHeight="1">
      <c r="F575" s="22"/>
    </row>
    <row r="576" spans="6:6" ht="14.25" customHeight="1">
      <c r="F576" s="22"/>
    </row>
    <row r="577" spans="6:6" ht="14.25" customHeight="1">
      <c r="F577" s="22"/>
    </row>
    <row r="578" spans="6:6" ht="14.25" customHeight="1">
      <c r="F578" s="22"/>
    </row>
    <row r="579" spans="6:6" ht="14.25" customHeight="1">
      <c r="F579" s="22"/>
    </row>
    <row r="580" spans="6:6" ht="14.25" customHeight="1">
      <c r="F580" s="22"/>
    </row>
    <row r="581" spans="6:6" ht="14.25" customHeight="1">
      <c r="F581" s="22"/>
    </row>
    <row r="582" spans="6:6" ht="14.25" customHeight="1">
      <c r="F582" s="22"/>
    </row>
    <row r="583" spans="6:6" ht="14.25" customHeight="1">
      <c r="F583" s="22"/>
    </row>
    <row r="584" spans="6:6" ht="14.25" customHeight="1">
      <c r="F584" s="22"/>
    </row>
    <row r="585" spans="6:6" ht="14.25" customHeight="1">
      <c r="F585" s="22"/>
    </row>
    <row r="586" spans="6:6" ht="14.25" customHeight="1">
      <c r="F586" s="22"/>
    </row>
    <row r="587" spans="6:6" ht="14.25" customHeight="1">
      <c r="F587" s="22"/>
    </row>
    <row r="588" spans="6:6" ht="14.25" customHeight="1">
      <c r="F588" s="22"/>
    </row>
    <row r="589" spans="6:6" ht="14.25" customHeight="1">
      <c r="F589" s="22"/>
    </row>
    <row r="590" spans="6:6" ht="14.25" customHeight="1">
      <c r="F590" s="22"/>
    </row>
    <row r="591" spans="6:6" ht="14.25" customHeight="1">
      <c r="F591" s="22"/>
    </row>
    <row r="592" spans="6:6" ht="14.25" customHeight="1">
      <c r="F592" s="22"/>
    </row>
    <row r="593" spans="6:6" ht="14.25" customHeight="1">
      <c r="F593" s="22"/>
    </row>
    <row r="594" spans="6:6" ht="14.25" customHeight="1">
      <c r="F594" s="22"/>
    </row>
    <row r="595" spans="6:6" ht="14.25" customHeight="1">
      <c r="F595" s="22"/>
    </row>
    <row r="596" spans="6:6" ht="14.25" customHeight="1">
      <c r="F596" s="22"/>
    </row>
    <row r="597" spans="6:6" ht="14.25" customHeight="1">
      <c r="F597" s="22"/>
    </row>
    <row r="598" spans="6:6" ht="14.25" customHeight="1">
      <c r="F598" s="22"/>
    </row>
    <row r="599" spans="6:6" ht="14.25" customHeight="1">
      <c r="F599" s="22"/>
    </row>
    <row r="600" spans="6:6" ht="14.25" customHeight="1">
      <c r="F600" s="22"/>
    </row>
    <row r="601" spans="6:6" ht="14.25" customHeight="1">
      <c r="F601" s="22"/>
    </row>
    <row r="602" spans="6:6" ht="14.25" customHeight="1">
      <c r="F602" s="22"/>
    </row>
    <row r="603" spans="6:6" ht="14.25" customHeight="1">
      <c r="F603" s="22"/>
    </row>
    <row r="604" spans="6:6" ht="14.25" customHeight="1">
      <c r="F604" s="22"/>
    </row>
    <row r="605" spans="6:6" ht="14.25" customHeight="1">
      <c r="F605" s="22"/>
    </row>
    <row r="606" spans="6:6" ht="14.25" customHeight="1">
      <c r="F606" s="22"/>
    </row>
    <row r="607" spans="6:6" ht="14.25" customHeight="1">
      <c r="F607" s="22"/>
    </row>
    <row r="608" spans="6:6" ht="14.25" customHeight="1">
      <c r="F608" s="22"/>
    </row>
    <row r="609" spans="6:6" ht="14.25" customHeight="1">
      <c r="F609" s="22"/>
    </row>
    <row r="610" spans="6:6" ht="14.25" customHeight="1">
      <c r="F610" s="22"/>
    </row>
    <row r="611" spans="6:6" ht="14.25" customHeight="1">
      <c r="F611" s="22"/>
    </row>
    <row r="612" spans="6:6" ht="14.25" customHeight="1">
      <c r="F612" s="22"/>
    </row>
    <row r="613" spans="6:6" ht="14.25" customHeight="1">
      <c r="F613" s="22"/>
    </row>
    <row r="614" spans="6:6" ht="14.25" customHeight="1">
      <c r="F614" s="22"/>
    </row>
    <row r="615" spans="6:6" ht="14.25" customHeight="1">
      <c r="F615" s="22"/>
    </row>
    <row r="616" spans="6:6" ht="14.25" customHeight="1">
      <c r="F616" s="22"/>
    </row>
    <row r="617" spans="6:6" ht="14.25" customHeight="1">
      <c r="F617" s="22"/>
    </row>
    <row r="618" spans="6:6" ht="14.25" customHeight="1">
      <c r="F618" s="22"/>
    </row>
    <row r="619" spans="6:6" ht="14.25" customHeight="1">
      <c r="F619" s="22"/>
    </row>
    <row r="620" spans="6:6" ht="14.25" customHeight="1">
      <c r="F620" s="22"/>
    </row>
    <row r="621" spans="6:6" ht="14.25" customHeight="1">
      <c r="F621" s="22"/>
    </row>
    <row r="622" spans="6:6" ht="14.25" customHeight="1">
      <c r="F622" s="22"/>
    </row>
    <row r="623" spans="6:6" ht="14.25" customHeight="1">
      <c r="F623" s="22"/>
    </row>
    <row r="624" spans="6:6" ht="14.25" customHeight="1">
      <c r="F624" s="22"/>
    </row>
    <row r="625" spans="6:6" ht="14.25" customHeight="1">
      <c r="F625" s="22"/>
    </row>
    <row r="626" spans="6:6" ht="14.25" customHeight="1">
      <c r="F626" s="22"/>
    </row>
    <row r="627" spans="6:6" ht="14.25" customHeight="1">
      <c r="F627" s="22"/>
    </row>
    <row r="628" spans="6:6" ht="14.25" customHeight="1">
      <c r="F628" s="22"/>
    </row>
    <row r="629" spans="6:6" ht="14.25" customHeight="1">
      <c r="F629" s="22"/>
    </row>
    <row r="630" spans="6:6" ht="14.25" customHeight="1">
      <c r="F630" s="22"/>
    </row>
    <row r="631" spans="6:6" ht="14.25" customHeight="1">
      <c r="F631" s="22"/>
    </row>
    <row r="632" spans="6:6" ht="14.25" customHeight="1">
      <c r="F632" s="22"/>
    </row>
    <row r="633" spans="6:6" ht="14.25" customHeight="1">
      <c r="F633" s="22"/>
    </row>
    <row r="634" spans="6:6" ht="14.25" customHeight="1">
      <c r="F634" s="22"/>
    </row>
    <row r="635" spans="6:6" ht="14.25" customHeight="1">
      <c r="F635" s="22"/>
    </row>
    <row r="636" spans="6:6" ht="14.25" customHeight="1">
      <c r="F636" s="22"/>
    </row>
    <row r="637" spans="6:6" ht="14.25" customHeight="1">
      <c r="F637" s="22"/>
    </row>
    <row r="638" spans="6:6" ht="14.25" customHeight="1">
      <c r="F638" s="22"/>
    </row>
    <row r="639" spans="6:6" ht="14.25" customHeight="1">
      <c r="F639" s="22"/>
    </row>
    <row r="640" spans="6:6" ht="14.25" customHeight="1">
      <c r="F640" s="22"/>
    </row>
    <row r="641" spans="6:6" ht="14.25" customHeight="1">
      <c r="F641" s="22"/>
    </row>
    <row r="642" spans="6:6" ht="14.25" customHeight="1">
      <c r="F642" s="22"/>
    </row>
    <row r="643" spans="6:6" ht="14.25" customHeight="1">
      <c r="F643" s="22"/>
    </row>
    <row r="644" spans="6:6" ht="14.25" customHeight="1">
      <c r="F644" s="22"/>
    </row>
    <row r="645" spans="6:6" ht="14.25" customHeight="1">
      <c r="F645" s="22"/>
    </row>
    <row r="646" spans="6:6" ht="14.25" customHeight="1">
      <c r="F646" s="22"/>
    </row>
    <row r="647" spans="6:6" ht="14.25" customHeight="1">
      <c r="F647" s="22"/>
    </row>
    <row r="648" spans="6:6" ht="14.25" customHeight="1">
      <c r="F648" s="22"/>
    </row>
    <row r="649" spans="6:6" ht="14.25" customHeight="1">
      <c r="F649" s="22"/>
    </row>
    <row r="650" spans="6:6" ht="14.25" customHeight="1">
      <c r="F650" s="22"/>
    </row>
    <row r="651" spans="6:6" ht="14.25" customHeight="1">
      <c r="F651" s="22"/>
    </row>
    <row r="652" spans="6:6" ht="14.25" customHeight="1">
      <c r="F652" s="22"/>
    </row>
    <row r="653" spans="6:6" ht="14.25" customHeight="1">
      <c r="F653" s="22"/>
    </row>
    <row r="654" spans="6:6" ht="14.25" customHeight="1">
      <c r="F654" s="22"/>
    </row>
    <row r="655" spans="6:6" ht="14.25" customHeight="1">
      <c r="F655" s="22"/>
    </row>
    <row r="656" spans="6:6" ht="14.25" customHeight="1">
      <c r="F656" s="22"/>
    </row>
    <row r="657" spans="6:6" ht="14.25" customHeight="1">
      <c r="F657" s="22"/>
    </row>
    <row r="658" spans="6:6" ht="14.25" customHeight="1">
      <c r="F658" s="22"/>
    </row>
    <row r="659" spans="6:6" ht="14.25" customHeight="1">
      <c r="F659" s="22"/>
    </row>
    <row r="660" spans="6:6" ht="14.25" customHeight="1">
      <c r="F660" s="22"/>
    </row>
    <row r="661" spans="6:6" ht="14.25" customHeight="1">
      <c r="F661" s="22"/>
    </row>
    <row r="662" spans="6:6" ht="14.25" customHeight="1">
      <c r="F662" s="22"/>
    </row>
    <row r="663" spans="6:6" ht="14.25" customHeight="1">
      <c r="F663" s="22"/>
    </row>
    <row r="664" spans="6:6" ht="14.25" customHeight="1">
      <c r="F664" s="22"/>
    </row>
    <row r="665" spans="6:6" ht="14.25" customHeight="1">
      <c r="F665" s="22"/>
    </row>
    <row r="666" spans="6:6" ht="14.25" customHeight="1">
      <c r="F666" s="22"/>
    </row>
    <row r="667" spans="6:6" ht="14.25" customHeight="1">
      <c r="F667" s="22"/>
    </row>
    <row r="668" spans="6:6" ht="14.25" customHeight="1">
      <c r="F668" s="22"/>
    </row>
    <row r="669" spans="6:6" ht="14.25" customHeight="1">
      <c r="F669" s="22"/>
    </row>
    <row r="670" spans="6:6" ht="14.25" customHeight="1">
      <c r="F670" s="22"/>
    </row>
    <row r="671" spans="6:6" ht="14.25" customHeight="1">
      <c r="F671" s="22"/>
    </row>
    <row r="672" spans="6:6" ht="14.25" customHeight="1">
      <c r="F672" s="22"/>
    </row>
    <row r="673" spans="6:6" ht="14.25" customHeight="1">
      <c r="F673" s="22"/>
    </row>
    <row r="674" spans="6:6" ht="14.25" customHeight="1">
      <c r="F674" s="22"/>
    </row>
    <row r="675" spans="6:6" ht="14.25" customHeight="1">
      <c r="F675" s="22"/>
    </row>
    <row r="676" spans="6:6" ht="14.25" customHeight="1">
      <c r="F676" s="22"/>
    </row>
    <row r="677" spans="6:6" ht="14.25" customHeight="1">
      <c r="F677" s="22"/>
    </row>
    <row r="678" spans="6:6" ht="14.25" customHeight="1">
      <c r="F678" s="22"/>
    </row>
    <row r="679" spans="6:6" ht="14.25" customHeight="1">
      <c r="F679" s="22"/>
    </row>
    <row r="680" spans="6:6" ht="14.25" customHeight="1">
      <c r="F680" s="22"/>
    </row>
    <row r="681" spans="6:6" ht="14.25" customHeight="1">
      <c r="F681" s="22"/>
    </row>
    <row r="682" spans="6:6" ht="14.25" customHeight="1">
      <c r="F682" s="22"/>
    </row>
    <row r="683" spans="6:6" ht="14.25" customHeight="1">
      <c r="F683" s="22"/>
    </row>
    <row r="684" spans="6:6" ht="14.25" customHeight="1">
      <c r="F684" s="22"/>
    </row>
    <row r="685" spans="6:6" ht="14.25" customHeight="1">
      <c r="F685" s="22"/>
    </row>
    <row r="686" spans="6:6" ht="14.25" customHeight="1">
      <c r="F686" s="22"/>
    </row>
    <row r="687" spans="6:6" ht="14.25" customHeight="1">
      <c r="F687" s="22"/>
    </row>
    <row r="688" spans="6:6" ht="14.25" customHeight="1">
      <c r="F688" s="22"/>
    </row>
    <row r="689" spans="6:6" ht="14.25" customHeight="1">
      <c r="F689" s="22"/>
    </row>
    <row r="690" spans="6:6" ht="14.25" customHeight="1">
      <c r="F690" s="22"/>
    </row>
    <row r="691" spans="6:6" ht="14.25" customHeight="1">
      <c r="F691" s="22"/>
    </row>
    <row r="692" spans="6:6" ht="14.25" customHeight="1">
      <c r="F692" s="22"/>
    </row>
    <row r="693" spans="6:6" ht="14.25" customHeight="1">
      <c r="F693" s="22"/>
    </row>
    <row r="694" spans="6:6" ht="14.25" customHeight="1">
      <c r="F694" s="22"/>
    </row>
    <row r="695" spans="6:6" ht="14.25" customHeight="1">
      <c r="F695" s="22"/>
    </row>
    <row r="696" spans="6:6" ht="14.25" customHeight="1">
      <c r="F696" s="22"/>
    </row>
    <row r="697" spans="6:6" ht="14.25" customHeight="1">
      <c r="F697" s="22"/>
    </row>
    <row r="698" spans="6:6" ht="14.25" customHeight="1">
      <c r="F698" s="22"/>
    </row>
    <row r="699" spans="6:6" ht="14.25" customHeight="1">
      <c r="F699" s="22"/>
    </row>
    <row r="700" spans="6:6" ht="14.25" customHeight="1">
      <c r="F700" s="22"/>
    </row>
    <row r="701" spans="6:6" ht="14.25" customHeight="1">
      <c r="F701" s="22"/>
    </row>
    <row r="702" spans="6:6" ht="14.25" customHeight="1">
      <c r="F702" s="22"/>
    </row>
    <row r="703" spans="6:6" ht="14.25" customHeight="1">
      <c r="F703" s="22"/>
    </row>
    <row r="704" spans="6:6" ht="14.25" customHeight="1">
      <c r="F704" s="22"/>
    </row>
    <row r="705" spans="6:6" ht="14.25" customHeight="1">
      <c r="F705" s="22"/>
    </row>
    <row r="706" spans="6:6" ht="14.25" customHeight="1">
      <c r="F706" s="22"/>
    </row>
    <row r="707" spans="6:6" ht="14.25" customHeight="1">
      <c r="F707" s="22"/>
    </row>
    <row r="708" spans="6:6" ht="14.25" customHeight="1">
      <c r="F708" s="22"/>
    </row>
    <row r="709" spans="6:6" ht="14.25" customHeight="1">
      <c r="F709" s="22"/>
    </row>
    <row r="710" spans="6:6" ht="14.25" customHeight="1">
      <c r="F710" s="22"/>
    </row>
    <row r="711" spans="6:6" ht="14.25" customHeight="1">
      <c r="F711" s="22"/>
    </row>
    <row r="712" spans="6:6" ht="14.25" customHeight="1">
      <c r="F712" s="22"/>
    </row>
    <row r="713" spans="6:6" ht="14.25" customHeight="1">
      <c r="F713" s="22"/>
    </row>
    <row r="714" spans="6:6" ht="14.25" customHeight="1">
      <c r="F714" s="22"/>
    </row>
    <row r="715" spans="6:6" ht="14.25" customHeight="1">
      <c r="F715" s="22"/>
    </row>
    <row r="716" spans="6:6" ht="14.25" customHeight="1">
      <c r="F716" s="22"/>
    </row>
    <row r="717" spans="6:6" ht="14.25" customHeight="1">
      <c r="F717" s="22"/>
    </row>
    <row r="718" spans="6:6" ht="14.25" customHeight="1">
      <c r="F718" s="22"/>
    </row>
    <row r="719" spans="6:6" ht="14.25" customHeight="1">
      <c r="F719" s="22"/>
    </row>
    <row r="720" spans="6:6" ht="14.25" customHeight="1">
      <c r="F720" s="22"/>
    </row>
    <row r="721" spans="6:6" ht="14.25" customHeight="1">
      <c r="F721" s="22"/>
    </row>
    <row r="722" spans="6:6" ht="14.25" customHeight="1">
      <c r="F722" s="22"/>
    </row>
    <row r="723" spans="6:6" ht="14.25" customHeight="1">
      <c r="F723" s="22"/>
    </row>
    <row r="724" spans="6:6" ht="14.25" customHeight="1">
      <c r="F724" s="22"/>
    </row>
    <row r="725" spans="6:6" ht="14.25" customHeight="1">
      <c r="F725" s="22"/>
    </row>
    <row r="726" spans="6:6" ht="14.25" customHeight="1">
      <c r="F726" s="22"/>
    </row>
    <row r="727" spans="6:6" ht="14.25" customHeight="1">
      <c r="F727" s="22"/>
    </row>
    <row r="728" spans="6:6" ht="14.25" customHeight="1">
      <c r="F728" s="22"/>
    </row>
    <row r="729" spans="6:6" ht="14.25" customHeight="1">
      <c r="F729" s="22"/>
    </row>
    <row r="730" spans="6:6" ht="14.25" customHeight="1">
      <c r="F730" s="22"/>
    </row>
    <row r="731" spans="6:6" ht="14.25" customHeight="1">
      <c r="F731" s="22"/>
    </row>
    <row r="732" spans="6:6" ht="14.25" customHeight="1">
      <c r="F732" s="22"/>
    </row>
    <row r="733" spans="6:6" ht="14.25" customHeight="1">
      <c r="F733" s="22"/>
    </row>
    <row r="734" spans="6:6" ht="14.25" customHeight="1">
      <c r="F734" s="22"/>
    </row>
    <row r="735" spans="6:6" ht="14.25" customHeight="1">
      <c r="F735" s="22"/>
    </row>
    <row r="736" spans="6:6" ht="14.25" customHeight="1">
      <c r="F736" s="22"/>
    </row>
    <row r="737" spans="6:6" ht="14.25" customHeight="1">
      <c r="F737" s="22"/>
    </row>
    <row r="738" spans="6:6" ht="14.25" customHeight="1">
      <c r="F738" s="22"/>
    </row>
    <row r="739" spans="6:6" ht="14.25" customHeight="1">
      <c r="F739" s="22"/>
    </row>
    <row r="740" spans="6:6" ht="14.25" customHeight="1">
      <c r="F740" s="22"/>
    </row>
    <row r="741" spans="6:6" ht="14.25" customHeight="1">
      <c r="F741" s="22"/>
    </row>
    <row r="742" spans="6:6" ht="14.25" customHeight="1">
      <c r="F742" s="22"/>
    </row>
    <row r="743" spans="6:6" ht="14.25" customHeight="1">
      <c r="F743" s="22"/>
    </row>
    <row r="744" spans="6:6" ht="14.25" customHeight="1">
      <c r="F744" s="22"/>
    </row>
    <row r="745" spans="6:6" ht="14.25" customHeight="1">
      <c r="F745" s="22"/>
    </row>
    <row r="746" spans="6:6" ht="14.25" customHeight="1">
      <c r="F746" s="22"/>
    </row>
    <row r="747" spans="6:6" ht="14.25" customHeight="1">
      <c r="F747" s="22"/>
    </row>
    <row r="748" spans="6:6" ht="14.25" customHeight="1">
      <c r="F748" s="22"/>
    </row>
    <row r="749" spans="6:6" ht="14.25" customHeight="1">
      <c r="F749" s="22"/>
    </row>
    <row r="750" spans="6:6" ht="14.25" customHeight="1">
      <c r="F750" s="22"/>
    </row>
    <row r="751" spans="6:6" ht="14.25" customHeight="1">
      <c r="F751" s="22"/>
    </row>
    <row r="752" spans="6:6" ht="14.25" customHeight="1">
      <c r="F752" s="22"/>
    </row>
    <row r="753" spans="6:6" ht="14.25" customHeight="1">
      <c r="F753" s="22"/>
    </row>
    <row r="754" spans="6:6" ht="14.25" customHeight="1">
      <c r="F754" s="22"/>
    </row>
    <row r="755" spans="6:6" ht="14.25" customHeight="1">
      <c r="F755" s="22"/>
    </row>
    <row r="756" spans="6:6" ht="14.25" customHeight="1">
      <c r="F756" s="22"/>
    </row>
    <row r="757" spans="6:6" ht="14.25" customHeight="1">
      <c r="F757" s="22"/>
    </row>
    <row r="758" spans="6:6" ht="14.25" customHeight="1">
      <c r="F758" s="22"/>
    </row>
    <row r="759" spans="6:6" ht="14.25" customHeight="1">
      <c r="F759" s="22"/>
    </row>
    <row r="760" spans="6:6" ht="14.25" customHeight="1">
      <c r="F760" s="22"/>
    </row>
    <row r="761" spans="6:6" ht="14.25" customHeight="1">
      <c r="F761" s="22"/>
    </row>
    <row r="762" spans="6:6" ht="14.25" customHeight="1">
      <c r="F762" s="22"/>
    </row>
    <row r="763" spans="6:6" ht="14.25" customHeight="1">
      <c r="F763" s="22"/>
    </row>
    <row r="764" spans="6:6" ht="14.25" customHeight="1">
      <c r="F764" s="22"/>
    </row>
    <row r="765" spans="6:6" ht="14.25" customHeight="1">
      <c r="F765" s="22"/>
    </row>
    <row r="766" spans="6:6" ht="14.25" customHeight="1">
      <c r="F766" s="22"/>
    </row>
    <row r="767" spans="6:6" ht="14.25" customHeight="1">
      <c r="F767" s="22"/>
    </row>
    <row r="768" spans="6:6" ht="14.25" customHeight="1">
      <c r="F768" s="22"/>
    </row>
    <row r="769" spans="6:6" ht="14.25" customHeight="1">
      <c r="F769" s="22"/>
    </row>
    <row r="770" spans="6:6" ht="14.25" customHeight="1">
      <c r="F770" s="22"/>
    </row>
    <row r="771" spans="6:6" ht="14.25" customHeight="1">
      <c r="F771" s="22"/>
    </row>
    <row r="772" spans="6:6" ht="14.25" customHeight="1">
      <c r="F772" s="22"/>
    </row>
    <row r="773" spans="6:6" ht="14.25" customHeight="1">
      <c r="F773" s="22"/>
    </row>
    <row r="774" spans="6:6" ht="14.25" customHeight="1">
      <c r="F774" s="22"/>
    </row>
    <row r="775" spans="6:6" ht="14.25" customHeight="1">
      <c r="F775" s="22"/>
    </row>
    <row r="776" spans="6:6" ht="14.25" customHeight="1">
      <c r="F776" s="22"/>
    </row>
    <row r="777" spans="6:6" ht="14.25" customHeight="1">
      <c r="F777" s="22"/>
    </row>
    <row r="778" spans="6:6" ht="14.25" customHeight="1">
      <c r="F778" s="22"/>
    </row>
    <row r="779" spans="6:6" ht="14.25" customHeight="1">
      <c r="F779" s="22"/>
    </row>
    <row r="780" spans="6:6" ht="14.25" customHeight="1">
      <c r="F780" s="22"/>
    </row>
    <row r="781" spans="6:6" ht="14.25" customHeight="1">
      <c r="F781" s="22"/>
    </row>
    <row r="782" spans="6:6" ht="14.25" customHeight="1">
      <c r="F782" s="22"/>
    </row>
    <row r="783" spans="6:6" ht="14.25" customHeight="1">
      <c r="F783" s="22"/>
    </row>
    <row r="784" spans="6:6" ht="14.25" customHeight="1">
      <c r="F784" s="22"/>
    </row>
    <row r="785" spans="6:6" ht="14.25" customHeight="1">
      <c r="F785" s="22"/>
    </row>
    <row r="786" spans="6:6" ht="14.25" customHeight="1">
      <c r="F786" s="22"/>
    </row>
    <row r="787" spans="6:6" ht="14.25" customHeight="1">
      <c r="F787" s="22"/>
    </row>
    <row r="788" spans="6:6" ht="14.25" customHeight="1">
      <c r="F788" s="22"/>
    </row>
    <row r="789" spans="6:6" ht="14.25" customHeight="1">
      <c r="F789" s="22"/>
    </row>
    <row r="790" spans="6:6" ht="14.25" customHeight="1">
      <c r="F790" s="22"/>
    </row>
    <row r="791" spans="6:6" ht="14.25" customHeight="1">
      <c r="F791" s="22"/>
    </row>
    <row r="792" spans="6:6" ht="14.25" customHeight="1">
      <c r="F792" s="22"/>
    </row>
    <row r="793" spans="6:6" ht="14.25" customHeight="1">
      <c r="F793" s="22"/>
    </row>
    <row r="794" spans="6:6" ht="14.25" customHeight="1">
      <c r="F794" s="22"/>
    </row>
    <row r="795" spans="6:6" ht="14.25" customHeight="1">
      <c r="F795" s="22"/>
    </row>
    <row r="796" spans="6:6" ht="14.25" customHeight="1">
      <c r="F796" s="22"/>
    </row>
    <row r="797" spans="6:6" ht="14.25" customHeight="1">
      <c r="F797" s="22"/>
    </row>
    <row r="798" spans="6:6" ht="14.25" customHeight="1">
      <c r="F798" s="22"/>
    </row>
    <row r="799" spans="6:6" ht="14.25" customHeight="1">
      <c r="F799" s="22"/>
    </row>
    <row r="800" spans="6:6" ht="14.25" customHeight="1">
      <c r="F800" s="22"/>
    </row>
    <row r="801" spans="6:6" ht="14.25" customHeight="1">
      <c r="F801" s="22"/>
    </row>
    <row r="802" spans="6:6" ht="14.25" customHeight="1">
      <c r="F802" s="22"/>
    </row>
    <row r="803" spans="6:6" ht="14.25" customHeight="1">
      <c r="F803" s="22"/>
    </row>
    <row r="804" spans="6:6" ht="14.25" customHeight="1">
      <c r="F804" s="22"/>
    </row>
    <row r="805" spans="6:6" ht="14.25" customHeight="1">
      <c r="F805" s="22"/>
    </row>
    <row r="806" spans="6:6" ht="14.25" customHeight="1">
      <c r="F806" s="22"/>
    </row>
    <row r="807" spans="6:6" ht="14.25" customHeight="1">
      <c r="F807" s="22"/>
    </row>
    <row r="808" spans="6:6" ht="14.25" customHeight="1">
      <c r="F808" s="22"/>
    </row>
    <row r="809" spans="6:6" ht="14.25" customHeight="1">
      <c r="F809" s="22"/>
    </row>
    <row r="810" spans="6:6" ht="14.25" customHeight="1">
      <c r="F810" s="22"/>
    </row>
    <row r="811" spans="6:6" ht="14.25" customHeight="1">
      <c r="F811" s="22"/>
    </row>
    <row r="812" spans="6:6" ht="14.25" customHeight="1">
      <c r="F812" s="22"/>
    </row>
    <row r="813" spans="6:6" ht="14.25" customHeight="1">
      <c r="F813" s="22"/>
    </row>
    <row r="814" spans="6:6" ht="14.25" customHeight="1">
      <c r="F814" s="22"/>
    </row>
    <row r="815" spans="6:6" ht="14.25" customHeight="1">
      <c r="F815" s="22"/>
    </row>
    <row r="816" spans="6:6" ht="14.25" customHeight="1">
      <c r="F816" s="22"/>
    </row>
    <row r="817" spans="6:6" ht="14.25" customHeight="1">
      <c r="F817" s="22"/>
    </row>
    <row r="818" spans="6:6" ht="14.25" customHeight="1">
      <c r="F818" s="22"/>
    </row>
    <row r="819" spans="6:6" ht="14.25" customHeight="1">
      <c r="F819" s="22"/>
    </row>
    <row r="820" spans="6:6" ht="14.25" customHeight="1">
      <c r="F820" s="22"/>
    </row>
    <row r="821" spans="6:6" ht="14.25" customHeight="1">
      <c r="F821" s="22"/>
    </row>
    <row r="822" spans="6:6" ht="14.25" customHeight="1">
      <c r="F822" s="22"/>
    </row>
    <row r="823" spans="6:6" ht="14.25" customHeight="1">
      <c r="F823" s="22"/>
    </row>
    <row r="824" spans="6:6" ht="14.25" customHeight="1">
      <c r="F824" s="22"/>
    </row>
    <row r="825" spans="6:6" ht="14.25" customHeight="1">
      <c r="F825" s="22"/>
    </row>
    <row r="826" spans="6:6" ht="14.25" customHeight="1">
      <c r="F826" s="22"/>
    </row>
    <row r="827" spans="6:6" ht="14.25" customHeight="1">
      <c r="F827" s="22"/>
    </row>
    <row r="828" spans="6:6" ht="14.25" customHeight="1">
      <c r="F828" s="22"/>
    </row>
    <row r="829" spans="6:6" ht="14.25" customHeight="1">
      <c r="F829" s="22"/>
    </row>
    <row r="830" spans="6:6" ht="14.25" customHeight="1">
      <c r="F830" s="22"/>
    </row>
    <row r="831" spans="6:6" ht="14.25" customHeight="1">
      <c r="F831" s="22"/>
    </row>
    <row r="832" spans="6:6" ht="14.25" customHeight="1">
      <c r="F832" s="22"/>
    </row>
    <row r="833" spans="6:6" ht="14.25" customHeight="1">
      <c r="F833" s="22"/>
    </row>
    <row r="834" spans="6:6" ht="14.25" customHeight="1">
      <c r="F834" s="22"/>
    </row>
    <row r="835" spans="6:6" ht="14.25" customHeight="1">
      <c r="F835" s="22"/>
    </row>
    <row r="836" spans="6:6" ht="14.25" customHeight="1">
      <c r="F836" s="22"/>
    </row>
    <row r="837" spans="6:6" ht="14.25" customHeight="1">
      <c r="F837" s="22"/>
    </row>
    <row r="838" spans="6:6" ht="14.25" customHeight="1">
      <c r="F838" s="22"/>
    </row>
    <row r="839" spans="6:6" ht="14.25" customHeight="1">
      <c r="F839" s="22"/>
    </row>
    <row r="840" spans="6:6" ht="14.25" customHeight="1">
      <c r="F840" s="22"/>
    </row>
    <row r="841" spans="6:6" ht="14.25" customHeight="1">
      <c r="F841" s="22"/>
    </row>
    <row r="842" spans="6:6" ht="14.25" customHeight="1">
      <c r="F842" s="22"/>
    </row>
    <row r="843" spans="6:6" ht="14.25" customHeight="1">
      <c r="F843" s="22"/>
    </row>
    <row r="844" spans="6:6" ht="14.25" customHeight="1">
      <c r="F844" s="22"/>
    </row>
    <row r="845" spans="6:6" ht="14.25" customHeight="1">
      <c r="F845" s="22"/>
    </row>
    <row r="846" spans="6:6" ht="14.25" customHeight="1">
      <c r="F846" s="22"/>
    </row>
    <row r="847" spans="6:6" ht="14.25" customHeight="1">
      <c r="F847" s="22"/>
    </row>
    <row r="848" spans="6:6" ht="14.25" customHeight="1">
      <c r="F848" s="22"/>
    </row>
    <row r="849" spans="6:6" ht="14.25" customHeight="1">
      <c r="F849" s="22"/>
    </row>
    <row r="850" spans="6:6" ht="14.25" customHeight="1">
      <c r="F850" s="22"/>
    </row>
    <row r="851" spans="6:6" ht="14.25" customHeight="1">
      <c r="F851" s="22"/>
    </row>
    <row r="852" spans="6:6" ht="14.25" customHeight="1">
      <c r="F852" s="22"/>
    </row>
    <row r="853" spans="6:6" ht="14.25" customHeight="1">
      <c r="F853" s="22"/>
    </row>
    <row r="854" spans="6:6" ht="14.25" customHeight="1">
      <c r="F854" s="22"/>
    </row>
    <row r="855" spans="6:6" ht="14.25" customHeight="1">
      <c r="F855" s="22"/>
    </row>
    <row r="856" spans="6:6" ht="14.25" customHeight="1">
      <c r="F856" s="22"/>
    </row>
    <row r="857" spans="6:6" ht="14.25" customHeight="1">
      <c r="F857" s="22"/>
    </row>
    <row r="858" spans="6:6" ht="14.25" customHeight="1">
      <c r="F858" s="22"/>
    </row>
    <row r="859" spans="6:6" ht="14.25" customHeight="1">
      <c r="F859" s="22"/>
    </row>
    <row r="860" spans="6:6" ht="14.25" customHeight="1">
      <c r="F860" s="22"/>
    </row>
    <row r="861" spans="6:6" ht="14.25" customHeight="1">
      <c r="F861" s="22"/>
    </row>
    <row r="862" spans="6:6" ht="14.25" customHeight="1">
      <c r="F862" s="22"/>
    </row>
    <row r="863" spans="6:6" ht="14.25" customHeight="1">
      <c r="F863" s="22"/>
    </row>
    <row r="864" spans="6:6" ht="14.25" customHeight="1">
      <c r="F864" s="22"/>
    </row>
    <row r="865" spans="6:6" ht="14.25" customHeight="1">
      <c r="F865" s="22"/>
    </row>
    <row r="866" spans="6:6" ht="14.25" customHeight="1">
      <c r="F866" s="22"/>
    </row>
    <row r="867" spans="6:6" ht="14.25" customHeight="1">
      <c r="F867" s="22"/>
    </row>
    <row r="868" spans="6:6" ht="14.25" customHeight="1">
      <c r="F868" s="22"/>
    </row>
    <row r="869" spans="6:6" ht="14.25" customHeight="1">
      <c r="F869" s="22"/>
    </row>
    <row r="870" spans="6:6" ht="14.25" customHeight="1">
      <c r="F870" s="22"/>
    </row>
    <row r="871" spans="6:6" ht="14.25" customHeight="1">
      <c r="F871" s="22"/>
    </row>
    <row r="872" spans="6:6" ht="14.25" customHeight="1">
      <c r="F872" s="22"/>
    </row>
    <row r="873" spans="6:6" ht="14.25" customHeight="1">
      <c r="F873" s="22"/>
    </row>
    <row r="874" spans="6:6" ht="14.25" customHeight="1">
      <c r="F874" s="22"/>
    </row>
    <row r="875" spans="6:6" ht="14.25" customHeight="1">
      <c r="F875" s="22"/>
    </row>
    <row r="876" spans="6:6" ht="14.25" customHeight="1">
      <c r="F876" s="22"/>
    </row>
    <row r="877" spans="6:6" ht="14.25" customHeight="1">
      <c r="F877" s="22"/>
    </row>
    <row r="878" spans="6:6" ht="14.25" customHeight="1">
      <c r="F878" s="22"/>
    </row>
    <row r="879" spans="6:6" ht="14.25" customHeight="1">
      <c r="F879" s="22"/>
    </row>
    <row r="880" spans="6:6" ht="14.25" customHeight="1">
      <c r="F880" s="22"/>
    </row>
    <row r="881" spans="6:6" ht="14.25" customHeight="1">
      <c r="F881" s="22"/>
    </row>
    <row r="882" spans="6:6" ht="14.25" customHeight="1">
      <c r="F882" s="22"/>
    </row>
    <row r="883" spans="6:6" ht="14.25" customHeight="1">
      <c r="F883" s="22"/>
    </row>
    <row r="884" spans="6:6" ht="14.25" customHeight="1">
      <c r="F884" s="22"/>
    </row>
    <row r="885" spans="6:6" ht="14.25" customHeight="1">
      <c r="F885" s="22"/>
    </row>
    <row r="886" spans="6:6" ht="14.25" customHeight="1">
      <c r="F886" s="22"/>
    </row>
    <row r="887" spans="6:6" ht="14.25" customHeight="1">
      <c r="F887" s="22"/>
    </row>
    <row r="888" spans="6:6" ht="14.25" customHeight="1">
      <c r="F888" s="22"/>
    </row>
    <row r="889" spans="6:6" ht="14.25" customHeight="1">
      <c r="F889" s="22"/>
    </row>
    <row r="890" spans="6:6" ht="14.25" customHeight="1">
      <c r="F890" s="22"/>
    </row>
    <row r="891" spans="6:6" ht="14.25" customHeight="1">
      <c r="F891" s="22"/>
    </row>
    <row r="892" spans="6:6" ht="14.25" customHeight="1">
      <c r="F892" s="22"/>
    </row>
    <row r="893" spans="6:6" ht="14.25" customHeight="1">
      <c r="F893" s="22"/>
    </row>
    <row r="894" spans="6:6" ht="14.25" customHeight="1">
      <c r="F894" s="22"/>
    </row>
    <row r="895" spans="6:6" ht="14.25" customHeight="1">
      <c r="F895" s="22"/>
    </row>
    <row r="896" spans="6:6" ht="14.25" customHeight="1">
      <c r="F896" s="22"/>
    </row>
    <row r="897" spans="6:6" ht="14.25" customHeight="1">
      <c r="F897" s="22"/>
    </row>
    <row r="898" spans="6:6" ht="14.25" customHeight="1">
      <c r="F898" s="22"/>
    </row>
    <row r="899" spans="6:6" ht="14.25" customHeight="1">
      <c r="F899" s="22"/>
    </row>
    <row r="900" spans="6:6" ht="14.25" customHeight="1">
      <c r="F900" s="22"/>
    </row>
    <row r="901" spans="6:6" ht="14.25" customHeight="1">
      <c r="F901" s="22"/>
    </row>
    <row r="902" spans="6:6" ht="14.25" customHeight="1">
      <c r="F902" s="22"/>
    </row>
    <row r="903" spans="6:6" ht="14.25" customHeight="1">
      <c r="F903" s="22"/>
    </row>
    <row r="904" spans="6:6" ht="14.25" customHeight="1">
      <c r="F904" s="22"/>
    </row>
    <row r="905" spans="6:6" ht="14.25" customHeight="1">
      <c r="F905" s="22"/>
    </row>
    <row r="906" spans="6:6" ht="14.25" customHeight="1">
      <c r="F906" s="22"/>
    </row>
    <row r="907" spans="6:6" ht="14.25" customHeight="1">
      <c r="F907" s="22"/>
    </row>
    <row r="908" spans="6:6" ht="14.25" customHeight="1">
      <c r="F908" s="22"/>
    </row>
    <row r="909" spans="6:6" ht="14.25" customHeight="1">
      <c r="F909" s="22"/>
    </row>
    <row r="910" spans="6:6" ht="14.25" customHeight="1">
      <c r="F910" s="22"/>
    </row>
    <row r="911" spans="6:6" ht="14.25" customHeight="1">
      <c r="F911" s="22"/>
    </row>
    <row r="912" spans="6:6" ht="14.25" customHeight="1">
      <c r="F912" s="22"/>
    </row>
    <row r="913" spans="6:6" ht="14.25" customHeight="1">
      <c r="F913" s="22"/>
    </row>
    <row r="914" spans="6:6" ht="14.25" customHeight="1">
      <c r="F914" s="22"/>
    </row>
    <row r="915" spans="6:6" ht="14.25" customHeight="1">
      <c r="F915" s="22"/>
    </row>
    <row r="916" spans="6:6" ht="14.25" customHeight="1">
      <c r="F916" s="22"/>
    </row>
    <row r="917" spans="6:6" ht="14.25" customHeight="1">
      <c r="F917" s="22"/>
    </row>
    <row r="918" spans="6:6" ht="14.25" customHeight="1">
      <c r="F918" s="22"/>
    </row>
    <row r="919" spans="6:6" ht="14.25" customHeight="1">
      <c r="F919" s="22"/>
    </row>
    <row r="920" spans="6:6" ht="14.25" customHeight="1">
      <c r="F920" s="22"/>
    </row>
    <row r="921" spans="6:6" ht="14.25" customHeight="1">
      <c r="F921" s="22"/>
    </row>
    <row r="922" spans="6:6" ht="14.25" customHeight="1">
      <c r="F922" s="22"/>
    </row>
    <row r="923" spans="6:6" ht="14.25" customHeight="1">
      <c r="F923" s="22"/>
    </row>
    <row r="924" spans="6:6" ht="14.25" customHeight="1">
      <c r="F924" s="22"/>
    </row>
    <row r="925" spans="6:6" ht="14.25" customHeight="1">
      <c r="F925" s="22"/>
    </row>
    <row r="926" spans="6:6" ht="14.25" customHeight="1">
      <c r="F926" s="22"/>
    </row>
    <row r="927" spans="6:6" ht="14.25" customHeight="1">
      <c r="F927" s="22"/>
    </row>
    <row r="928" spans="6:6" ht="14.25" customHeight="1">
      <c r="F928" s="22"/>
    </row>
    <row r="929" spans="6:6" ht="14.25" customHeight="1">
      <c r="F929" s="22"/>
    </row>
    <row r="930" spans="6:6" ht="14.25" customHeight="1">
      <c r="F930" s="22"/>
    </row>
    <row r="931" spans="6:6" ht="14.25" customHeight="1">
      <c r="F931" s="22"/>
    </row>
    <row r="932" spans="6:6" ht="14.25" customHeight="1">
      <c r="F932" s="22"/>
    </row>
    <row r="933" spans="6:6" ht="14.25" customHeight="1">
      <c r="F933" s="22"/>
    </row>
    <row r="934" spans="6:6" ht="14.25" customHeight="1">
      <c r="F934" s="22"/>
    </row>
    <row r="935" spans="6:6" ht="14.25" customHeight="1">
      <c r="F935" s="22"/>
    </row>
    <row r="936" spans="6:6" ht="14.25" customHeight="1">
      <c r="F936" s="22"/>
    </row>
    <row r="937" spans="6:6" ht="14.25" customHeight="1">
      <c r="F937" s="22"/>
    </row>
    <row r="938" spans="6:6" ht="14.25" customHeight="1">
      <c r="F938" s="22"/>
    </row>
    <row r="939" spans="6:6" ht="14.25" customHeight="1">
      <c r="F939" s="22"/>
    </row>
    <row r="940" spans="6:6" ht="14.25" customHeight="1">
      <c r="F940" s="22"/>
    </row>
    <row r="941" spans="6:6" ht="14.25" customHeight="1">
      <c r="F941" s="22"/>
    </row>
    <row r="942" spans="6:6" ht="14.25" customHeight="1">
      <c r="F942" s="22"/>
    </row>
    <row r="943" spans="6:6" ht="14.25" customHeight="1">
      <c r="F943" s="22"/>
    </row>
    <row r="944" spans="6:6" ht="14.25" customHeight="1">
      <c r="F944" s="22"/>
    </row>
    <row r="945" spans="6:6" ht="14.25" customHeight="1">
      <c r="F945" s="22"/>
    </row>
    <row r="946" spans="6:6" ht="14.25" customHeight="1">
      <c r="F946" s="22"/>
    </row>
    <row r="947" spans="6:6" ht="14.25" customHeight="1">
      <c r="F947" s="22"/>
    </row>
    <row r="948" spans="6:6" ht="14.25" customHeight="1">
      <c r="F948" s="22"/>
    </row>
    <row r="949" spans="6:6" ht="14.25" customHeight="1">
      <c r="F949" s="22"/>
    </row>
    <row r="950" spans="6:6" ht="14.25" customHeight="1">
      <c r="F950" s="22"/>
    </row>
    <row r="951" spans="6:6" ht="14.25" customHeight="1">
      <c r="F951" s="22"/>
    </row>
    <row r="952" spans="6:6" ht="14.25" customHeight="1">
      <c r="F952" s="22"/>
    </row>
    <row r="953" spans="6:6" ht="14.25" customHeight="1">
      <c r="F953" s="22"/>
    </row>
    <row r="954" spans="6:6" ht="14.25" customHeight="1">
      <c r="F954" s="22"/>
    </row>
    <row r="955" spans="6:6" ht="14.25" customHeight="1">
      <c r="F955" s="22"/>
    </row>
    <row r="956" spans="6:6" ht="14.25" customHeight="1">
      <c r="F956" s="22"/>
    </row>
    <row r="957" spans="6:6" ht="14.25" customHeight="1">
      <c r="F957" s="22"/>
    </row>
    <row r="958" spans="6:6" ht="14.25" customHeight="1">
      <c r="F958" s="22"/>
    </row>
    <row r="959" spans="6:6" ht="14.25" customHeight="1">
      <c r="F959" s="22"/>
    </row>
    <row r="960" spans="6:6" ht="14.25" customHeight="1">
      <c r="F960" s="22"/>
    </row>
    <row r="961" spans="6:6" ht="14.25" customHeight="1">
      <c r="F961" s="22"/>
    </row>
    <row r="962" spans="6:6" ht="14.25" customHeight="1">
      <c r="F962" s="22"/>
    </row>
    <row r="963" spans="6:6" ht="14.25" customHeight="1">
      <c r="F963" s="22"/>
    </row>
    <row r="964" spans="6:6" ht="14.25" customHeight="1">
      <c r="F964" s="22"/>
    </row>
    <row r="965" spans="6:6" ht="14.25" customHeight="1">
      <c r="F965" s="22"/>
    </row>
    <row r="966" spans="6:6" ht="14.25" customHeight="1">
      <c r="F966" s="22"/>
    </row>
    <row r="967" spans="6:6" ht="14.25" customHeight="1">
      <c r="F967" s="22"/>
    </row>
    <row r="968" spans="6:6" ht="14.25" customHeight="1">
      <c r="F968" s="22"/>
    </row>
    <row r="969" spans="6:6" ht="14.25" customHeight="1">
      <c r="F969" s="22"/>
    </row>
    <row r="970" spans="6:6" ht="14.25" customHeight="1">
      <c r="F970" s="22"/>
    </row>
    <row r="971" spans="6:6" ht="14.25" customHeight="1">
      <c r="F971" s="22"/>
    </row>
    <row r="972" spans="6:6" ht="14.25" customHeight="1">
      <c r="F972" s="22"/>
    </row>
    <row r="973" spans="6:6" ht="14.25" customHeight="1">
      <c r="F973" s="22"/>
    </row>
    <row r="974" spans="6:6" ht="14.25" customHeight="1">
      <c r="F974" s="22"/>
    </row>
    <row r="975" spans="6:6" ht="14.25" customHeight="1">
      <c r="F975" s="22"/>
    </row>
    <row r="976" spans="6:6" ht="14.25" customHeight="1">
      <c r="F976" s="22"/>
    </row>
    <row r="977" spans="6:6" ht="14.25" customHeight="1">
      <c r="F977" s="22"/>
    </row>
    <row r="978" spans="6:6" ht="14.25" customHeight="1">
      <c r="F978" s="22"/>
    </row>
    <row r="979" spans="6:6" ht="14.25" customHeight="1">
      <c r="F979" s="22"/>
    </row>
    <row r="980" spans="6:6" ht="14.25" customHeight="1">
      <c r="F980" s="22"/>
    </row>
    <row r="981" spans="6:6" ht="14.25" customHeight="1">
      <c r="F981" s="22"/>
    </row>
    <row r="982" spans="6:6" ht="14.25" customHeight="1">
      <c r="F982" s="22"/>
    </row>
    <row r="983" spans="6:6" ht="14.25" customHeight="1">
      <c r="F983" s="22"/>
    </row>
    <row r="984" spans="6:6" ht="14.25" customHeight="1">
      <c r="F984" s="22"/>
    </row>
    <row r="985" spans="6:6" ht="14.25" customHeight="1">
      <c r="F985" s="22"/>
    </row>
    <row r="986" spans="6:6" ht="14.25" customHeight="1">
      <c r="F986" s="22"/>
    </row>
    <row r="987" spans="6:6" ht="14.25" customHeight="1">
      <c r="F987" s="22"/>
    </row>
    <row r="988" spans="6:6" ht="14.25" customHeight="1">
      <c r="F988" s="22"/>
    </row>
    <row r="989" spans="6:6" ht="14.25" customHeight="1">
      <c r="F989" s="22"/>
    </row>
    <row r="990" spans="6:6" ht="14.25" customHeight="1">
      <c r="F990" s="22"/>
    </row>
    <row r="991" spans="6:6" ht="14.25" customHeight="1">
      <c r="F991" s="22"/>
    </row>
    <row r="992" spans="6:6" ht="14.25" customHeight="1">
      <c r="F992" s="22"/>
    </row>
    <row r="993" spans="6:6" ht="14.25" customHeight="1">
      <c r="F993" s="22"/>
    </row>
    <row r="994" spans="6:6" ht="14.25" customHeight="1">
      <c r="F994" s="22"/>
    </row>
    <row r="995" spans="6:6" ht="14.25" customHeight="1">
      <c r="F995" s="22"/>
    </row>
    <row r="996" spans="6:6" ht="14.25" customHeight="1">
      <c r="F996" s="22"/>
    </row>
    <row r="997" spans="6:6" ht="14.25" customHeight="1">
      <c r="F997" s="22"/>
    </row>
    <row r="998" spans="6:6" ht="14.25" customHeight="1">
      <c r="F998" s="22"/>
    </row>
    <row r="999" spans="6:6" ht="14.25" customHeight="1">
      <c r="F999" s="22"/>
    </row>
    <row r="1000" spans="6:6" ht="14.25" customHeight="1">
      <c r="F1000" s="2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000"/>
  <sheetViews>
    <sheetView workbookViewId="0"/>
  </sheetViews>
  <sheetFormatPr baseColWidth="10" defaultColWidth="12.6328125" defaultRowHeight="15" customHeight="1"/>
  <cols>
    <col min="1" max="1" width="10.6328125" customWidth="1"/>
    <col min="2" max="2" width="19.08984375" customWidth="1"/>
    <col min="3" max="3" width="13.36328125" customWidth="1"/>
    <col min="4" max="4" width="8.453125" customWidth="1"/>
    <col min="5" max="5" width="20.453125" customWidth="1"/>
    <col min="6" max="7" width="10.6328125" customWidth="1"/>
    <col min="8" max="8" width="9.453125" customWidth="1"/>
    <col min="9" max="9" width="15.90625" customWidth="1"/>
    <col min="10" max="11" width="14.453125" customWidth="1"/>
    <col min="12" max="12" width="15.7265625" customWidth="1"/>
    <col min="13" max="13" width="10.6328125" customWidth="1"/>
    <col min="14" max="14" width="11" customWidth="1"/>
    <col min="15" max="15" width="16.90625" customWidth="1"/>
    <col min="16" max="24" width="10.6328125" customWidth="1"/>
  </cols>
  <sheetData>
    <row r="1" spans="1:24" ht="14.25" customHeight="1">
      <c r="A1" s="65" t="s">
        <v>106</v>
      </c>
      <c r="B1" s="65" t="s">
        <v>107</v>
      </c>
      <c r="C1" s="66" t="s">
        <v>108</v>
      </c>
      <c r="D1" s="65" t="s">
        <v>2</v>
      </c>
      <c r="E1" s="67" t="s">
        <v>109</v>
      </c>
      <c r="F1" s="65" t="s">
        <v>49</v>
      </c>
      <c r="G1" s="65" t="s">
        <v>50</v>
      </c>
      <c r="H1" s="65" t="s">
        <v>51</v>
      </c>
      <c r="I1" s="65" t="s">
        <v>54</v>
      </c>
      <c r="J1" s="65" t="s">
        <v>110</v>
      </c>
      <c r="K1" s="65" t="s">
        <v>56</v>
      </c>
      <c r="L1" s="65" t="s">
        <v>111</v>
      </c>
      <c r="M1" s="65" t="s">
        <v>112</v>
      </c>
      <c r="N1" s="65" t="s">
        <v>113</v>
      </c>
      <c r="O1" s="65" t="s">
        <v>10</v>
      </c>
      <c r="P1" s="65" t="s">
        <v>49</v>
      </c>
      <c r="Q1" s="65" t="s">
        <v>50</v>
      </c>
      <c r="R1" s="65" t="s">
        <v>51</v>
      </c>
      <c r="S1" s="67" t="s">
        <v>114</v>
      </c>
      <c r="T1" s="65"/>
      <c r="U1" s="65"/>
      <c r="V1" s="65"/>
      <c r="W1" s="65"/>
      <c r="X1" s="65"/>
    </row>
    <row r="2" spans="1:24" ht="14.25" customHeight="1">
      <c r="A2" s="68" t="s">
        <v>115</v>
      </c>
      <c r="B2" s="68" t="s">
        <v>64</v>
      </c>
      <c r="C2" s="69" t="s">
        <v>65</v>
      </c>
      <c r="D2" s="68" t="s">
        <v>116</v>
      </c>
      <c r="E2" s="70">
        <v>25000</v>
      </c>
      <c r="F2" s="68">
        <v>0.75</v>
      </c>
      <c r="G2" s="68">
        <v>0.6</v>
      </c>
      <c r="H2" s="68">
        <v>0.48</v>
      </c>
      <c r="I2" s="71">
        <v>4.5999999999999996</v>
      </c>
      <c r="J2" s="72"/>
      <c r="K2" s="68">
        <v>3.5000000000000003E-2</v>
      </c>
      <c r="L2" s="68" t="s">
        <v>117</v>
      </c>
      <c r="M2" s="73">
        <v>0</v>
      </c>
      <c r="N2" s="68">
        <f>M2*42/ECONOMICOS!$B$3</f>
        <v>0</v>
      </c>
    </row>
    <row r="3" spans="1:24" ht="14.25" customHeight="1">
      <c r="A3" s="68" t="s">
        <v>115</v>
      </c>
      <c r="B3" s="68" t="s">
        <v>64</v>
      </c>
      <c r="C3" s="69" t="s">
        <v>118</v>
      </c>
      <c r="D3" s="68" t="s">
        <v>116</v>
      </c>
      <c r="E3" s="70">
        <v>25000</v>
      </c>
      <c r="F3" s="68">
        <v>0.75</v>
      </c>
      <c r="G3" s="68">
        <v>0.6</v>
      </c>
      <c r="H3" s="68">
        <v>0.48</v>
      </c>
      <c r="I3" s="71">
        <v>4.5999999999999996</v>
      </c>
      <c r="J3" s="72"/>
      <c r="K3" s="68">
        <v>3.5000000000000003E-2</v>
      </c>
      <c r="L3" s="68" t="s">
        <v>117</v>
      </c>
      <c r="M3" s="73">
        <v>0</v>
      </c>
      <c r="N3" s="74">
        <f t="shared" ref="N3:N18" si="0">M3*42/TRM</f>
        <v>0</v>
      </c>
    </row>
    <row r="4" spans="1:24" ht="14.25" customHeight="1">
      <c r="A4" s="68" t="s">
        <v>115</v>
      </c>
      <c r="B4" s="68" t="s">
        <v>64</v>
      </c>
      <c r="C4" s="69" t="s">
        <v>119</v>
      </c>
      <c r="D4" s="68" t="s">
        <v>116</v>
      </c>
      <c r="E4" s="70">
        <v>5000</v>
      </c>
      <c r="F4" s="68">
        <v>0.75</v>
      </c>
      <c r="G4" s="68">
        <v>0.6</v>
      </c>
      <c r="H4" s="68">
        <v>0.48</v>
      </c>
      <c r="I4" s="71">
        <v>4.5999999999999996</v>
      </c>
      <c r="J4" s="72"/>
      <c r="K4" s="68">
        <v>3.5000000000000003E-2</v>
      </c>
      <c r="L4" s="68" t="s">
        <v>117</v>
      </c>
      <c r="M4" s="73">
        <v>0</v>
      </c>
      <c r="N4" s="74">
        <f t="shared" si="0"/>
        <v>0</v>
      </c>
    </row>
    <row r="5" spans="1:24" ht="14.25" customHeight="1">
      <c r="A5" s="68" t="s">
        <v>115</v>
      </c>
      <c r="B5" s="68" t="s">
        <v>64</v>
      </c>
      <c r="C5" s="69" t="s">
        <v>120</v>
      </c>
      <c r="D5" s="68" t="s">
        <v>116</v>
      </c>
      <c r="E5" s="70">
        <v>5000</v>
      </c>
      <c r="F5" s="68">
        <v>0.75</v>
      </c>
      <c r="G5" s="68">
        <v>0.6</v>
      </c>
      <c r="H5" s="68">
        <v>0.48</v>
      </c>
      <c r="I5" s="71">
        <v>4.5999999999999996</v>
      </c>
      <c r="J5" s="72"/>
      <c r="K5" s="68">
        <v>3.5000000000000003E-2</v>
      </c>
      <c r="L5" s="68" t="s">
        <v>117</v>
      </c>
      <c r="M5" s="73">
        <v>0</v>
      </c>
      <c r="N5" s="74">
        <f t="shared" si="0"/>
        <v>0</v>
      </c>
    </row>
    <row r="6" spans="1:24" ht="14.25" customHeight="1">
      <c r="A6" s="68" t="s">
        <v>115</v>
      </c>
      <c r="B6" s="68" t="s">
        <v>64</v>
      </c>
      <c r="C6" s="69" t="s">
        <v>121</v>
      </c>
      <c r="D6" s="68" t="s">
        <v>116</v>
      </c>
      <c r="E6" s="70">
        <v>30000</v>
      </c>
      <c r="F6" s="68">
        <v>0.75</v>
      </c>
      <c r="G6" s="68">
        <v>0.6</v>
      </c>
      <c r="H6" s="68">
        <v>0.48</v>
      </c>
      <c r="I6" s="71">
        <v>4.5999999999999996</v>
      </c>
      <c r="J6" s="72"/>
      <c r="K6" s="68">
        <v>3.5000000000000003E-2</v>
      </c>
      <c r="L6" s="68" t="s">
        <v>117</v>
      </c>
      <c r="M6" s="73">
        <v>0</v>
      </c>
      <c r="N6" s="74">
        <f t="shared" si="0"/>
        <v>0</v>
      </c>
    </row>
    <row r="7" spans="1:24" ht="14.25" customHeight="1">
      <c r="A7" s="68" t="s">
        <v>115</v>
      </c>
      <c r="B7" s="68" t="s">
        <v>64</v>
      </c>
      <c r="C7" s="69" t="s">
        <v>122</v>
      </c>
      <c r="D7" s="68" t="s">
        <v>116</v>
      </c>
      <c r="E7" s="70">
        <v>30000</v>
      </c>
      <c r="F7" s="68">
        <v>0.75</v>
      </c>
      <c r="G7" s="68">
        <v>0.6</v>
      </c>
      <c r="H7" s="68">
        <v>0.48</v>
      </c>
      <c r="I7" s="71">
        <v>4.5999999999999996</v>
      </c>
      <c r="J7" s="72"/>
      <c r="K7" s="68">
        <v>3.5000000000000003E-2</v>
      </c>
      <c r="L7" s="68" t="s">
        <v>117</v>
      </c>
      <c r="M7" s="73">
        <v>0</v>
      </c>
      <c r="N7" s="74">
        <f t="shared" si="0"/>
        <v>0</v>
      </c>
    </row>
    <row r="8" spans="1:24" ht="14.25" customHeight="1">
      <c r="A8" s="68" t="s">
        <v>123</v>
      </c>
      <c r="B8" s="68" t="s">
        <v>59</v>
      </c>
      <c r="C8" s="69" t="s">
        <v>67</v>
      </c>
      <c r="D8" s="68" t="s">
        <v>116</v>
      </c>
      <c r="E8" s="70">
        <v>168000</v>
      </c>
      <c r="F8" s="68">
        <v>1.5</v>
      </c>
      <c r="G8" s="68">
        <v>0.8</v>
      </c>
      <c r="H8" s="68">
        <v>0.8</v>
      </c>
      <c r="I8" s="71">
        <v>4</v>
      </c>
      <c r="J8" s="68">
        <v>0</v>
      </c>
      <c r="L8" s="68" t="s">
        <v>124</v>
      </c>
      <c r="M8" s="75">
        <v>180</v>
      </c>
      <c r="N8" s="74">
        <f t="shared" si="0"/>
        <v>1.8439024390243903</v>
      </c>
      <c r="O8" s="68">
        <v>3.5000000000000003E-2</v>
      </c>
      <c r="P8" s="68">
        <v>0.75</v>
      </c>
      <c r="Q8" s="68">
        <v>0.6</v>
      </c>
      <c r="R8" s="68">
        <v>0.48</v>
      </c>
    </row>
    <row r="9" spans="1:24" ht="14.25" customHeight="1">
      <c r="A9" s="68" t="s">
        <v>123</v>
      </c>
      <c r="B9" s="68" t="s">
        <v>59</v>
      </c>
      <c r="C9" s="69" t="s">
        <v>125</v>
      </c>
      <c r="D9" s="68" t="s">
        <v>116</v>
      </c>
      <c r="E9" s="70">
        <v>20000</v>
      </c>
      <c r="F9" s="68">
        <v>1.5</v>
      </c>
      <c r="G9" s="68">
        <v>0.8</v>
      </c>
      <c r="H9" s="68">
        <v>0.8</v>
      </c>
      <c r="I9" s="71">
        <v>4</v>
      </c>
      <c r="J9" s="68">
        <v>0</v>
      </c>
      <c r="L9" s="68" t="s">
        <v>124</v>
      </c>
      <c r="M9" s="75">
        <v>180</v>
      </c>
      <c r="N9" s="74">
        <f t="shared" si="0"/>
        <v>1.8439024390243903</v>
      </c>
      <c r="O9" s="68">
        <v>3.5000000000000003E-2</v>
      </c>
      <c r="P9" s="68">
        <v>0.75</v>
      </c>
      <c r="Q9" s="68">
        <v>0.6</v>
      </c>
      <c r="R9" s="68">
        <v>0.48</v>
      </c>
    </row>
    <row r="10" spans="1:24" ht="14.25" customHeight="1">
      <c r="A10" s="68" t="s">
        <v>123</v>
      </c>
      <c r="B10" s="68" t="s">
        <v>59</v>
      </c>
      <c r="C10" s="69" t="s">
        <v>126</v>
      </c>
      <c r="D10" s="68" t="s">
        <v>116</v>
      </c>
      <c r="E10" s="70">
        <v>20000</v>
      </c>
      <c r="F10" s="68">
        <v>1.5</v>
      </c>
      <c r="G10" s="68">
        <v>0.8</v>
      </c>
      <c r="H10" s="68">
        <v>0.8</v>
      </c>
      <c r="I10" s="71">
        <v>4</v>
      </c>
      <c r="J10" s="68">
        <v>0</v>
      </c>
      <c r="L10" s="68" t="s">
        <v>124</v>
      </c>
      <c r="M10" s="75">
        <v>180</v>
      </c>
      <c r="N10" s="74">
        <f t="shared" si="0"/>
        <v>1.8439024390243903</v>
      </c>
      <c r="O10" s="68">
        <v>3.5000000000000003E-2</v>
      </c>
      <c r="P10" s="68">
        <v>0.75</v>
      </c>
      <c r="Q10" s="68">
        <v>0.6</v>
      </c>
      <c r="R10" s="68">
        <v>0.48</v>
      </c>
    </row>
    <row r="11" spans="1:24" ht="14.25" customHeight="1">
      <c r="A11" s="68" t="s">
        <v>123</v>
      </c>
      <c r="B11" s="68" t="s">
        <v>59</v>
      </c>
      <c r="C11" s="69" t="s">
        <v>127</v>
      </c>
      <c r="D11" s="68" t="s">
        <v>116</v>
      </c>
      <c r="E11" s="70">
        <v>28000</v>
      </c>
      <c r="F11" s="68">
        <v>1.5</v>
      </c>
      <c r="G11" s="68">
        <v>0.8</v>
      </c>
      <c r="H11" s="68">
        <v>0.8</v>
      </c>
      <c r="I11" s="71">
        <v>4</v>
      </c>
      <c r="J11" s="68">
        <v>0</v>
      </c>
      <c r="L11" s="68" t="s">
        <v>124</v>
      </c>
      <c r="M11" s="75">
        <v>180</v>
      </c>
      <c r="N11" s="74">
        <f t="shared" si="0"/>
        <v>1.8439024390243903</v>
      </c>
      <c r="O11" s="68">
        <v>3.5000000000000003E-2</v>
      </c>
      <c r="P11" s="68">
        <v>0.75</v>
      </c>
      <c r="Q11" s="68">
        <v>0.6</v>
      </c>
      <c r="R11" s="68">
        <v>0.48</v>
      </c>
    </row>
    <row r="12" spans="1:24" ht="14.25" customHeight="1">
      <c r="A12" s="68" t="s">
        <v>123</v>
      </c>
      <c r="B12" s="68" t="s">
        <v>59</v>
      </c>
      <c r="C12" s="69" t="s">
        <v>128</v>
      </c>
      <c r="D12" s="68" t="s">
        <v>116</v>
      </c>
      <c r="E12" s="70">
        <v>80000</v>
      </c>
      <c r="F12" s="68">
        <v>1.5</v>
      </c>
      <c r="G12" s="68">
        <v>0.8</v>
      </c>
      <c r="H12" s="68">
        <v>0.8</v>
      </c>
      <c r="I12" s="71">
        <v>4</v>
      </c>
      <c r="J12" s="68">
        <v>0</v>
      </c>
      <c r="L12" s="68" t="s">
        <v>124</v>
      </c>
      <c r="M12" s="75">
        <v>180</v>
      </c>
      <c r="N12" s="74">
        <f t="shared" si="0"/>
        <v>1.8439024390243903</v>
      </c>
      <c r="O12" s="68">
        <v>3.5000000000000003E-2</v>
      </c>
      <c r="P12" s="68">
        <v>0.75</v>
      </c>
      <c r="Q12" s="68">
        <v>0.6</v>
      </c>
      <c r="R12" s="68">
        <v>0.48</v>
      </c>
    </row>
    <row r="13" spans="1:24" ht="14.25" customHeight="1">
      <c r="A13" s="68" t="s">
        <v>123</v>
      </c>
      <c r="B13" s="68" t="s">
        <v>59</v>
      </c>
      <c r="C13" s="69" t="s">
        <v>129</v>
      </c>
      <c r="D13" s="68" t="s">
        <v>116</v>
      </c>
      <c r="E13" s="70">
        <v>80000</v>
      </c>
      <c r="F13" s="68">
        <v>1.5</v>
      </c>
      <c r="G13" s="68">
        <v>0.8</v>
      </c>
      <c r="H13" s="68">
        <v>0.8</v>
      </c>
      <c r="I13" s="71">
        <v>4</v>
      </c>
      <c r="J13" s="68">
        <v>0</v>
      </c>
      <c r="L13" s="68" t="s">
        <v>124</v>
      </c>
      <c r="M13" s="75">
        <v>180</v>
      </c>
      <c r="N13" s="76">
        <f t="shared" si="0"/>
        <v>1.8439024390243903</v>
      </c>
      <c r="O13" s="68">
        <v>3.5000000000000003E-2</v>
      </c>
      <c r="P13" s="68">
        <v>0.75</v>
      </c>
      <c r="Q13" s="68">
        <v>0.6</v>
      </c>
      <c r="R13" s="68">
        <v>0.48</v>
      </c>
    </row>
    <row r="14" spans="1:24" ht="14.25" customHeight="1">
      <c r="A14" s="68" t="s">
        <v>123</v>
      </c>
      <c r="B14" s="68" t="s">
        <v>59</v>
      </c>
      <c r="C14" s="69" t="s">
        <v>68</v>
      </c>
      <c r="D14" s="68" t="s">
        <v>116</v>
      </c>
      <c r="E14" s="70">
        <v>80000</v>
      </c>
      <c r="F14" s="68">
        <v>1.5</v>
      </c>
      <c r="G14" s="68">
        <v>0.8</v>
      </c>
      <c r="H14" s="68">
        <v>0.8</v>
      </c>
      <c r="I14" s="71">
        <v>4</v>
      </c>
      <c r="J14" s="68">
        <v>0</v>
      </c>
      <c r="L14" s="68" t="s">
        <v>124</v>
      </c>
      <c r="M14" s="75">
        <v>180</v>
      </c>
      <c r="N14" s="74">
        <f t="shared" si="0"/>
        <v>1.8439024390243903</v>
      </c>
      <c r="O14" s="68">
        <v>3.5000000000000003E-2</v>
      </c>
      <c r="P14" s="68">
        <v>0.75</v>
      </c>
      <c r="Q14" s="68">
        <v>0.6</v>
      </c>
      <c r="R14" s="68">
        <v>0.48</v>
      </c>
    </row>
    <row r="15" spans="1:24" ht="14.25" customHeight="1">
      <c r="A15" s="68" t="s">
        <v>115</v>
      </c>
      <c r="B15" s="68" t="s">
        <v>66</v>
      </c>
      <c r="C15" s="69" t="s">
        <v>130</v>
      </c>
      <c r="D15" s="68" t="s">
        <v>116</v>
      </c>
      <c r="E15" s="70">
        <v>30000</v>
      </c>
      <c r="F15" s="68">
        <v>1.75</v>
      </c>
      <c r="G15" s="68">
        <v>0.8</v>
      </c>
      <c r="H15" s="68">
        <v>0.8</v>
      </c>
      <c r="I15" s="71">
        <v>4</v>
      </c>
      <c r="J15" s="68">
        <v>0</v>
      </c>
      <c r="L15" s="68" t="s">
        <v>124</v>
      </c>
      <c r="M15" s="73">
        <v>80</v>
      </c>
      <c r="N15" s="74">
        <f t="shared" si="0"/>
        <v>0.81951219512195117</v>
      </c>
      <c r="O15" s="68">
        <v>3.5000000000000003E-2</v>
      </c>
      <c r="P15" s="68">
        <v>0.75</v>
      </c>
      <c r="Q15" s="68">
        <v>0.6</v>
      </c>
      <c r="R15" s="68">
        <v>0.48</v>
      </c>
    </row>
    <row r="16" spans="1:24" ht="14.25" customHeight="1">
      <c r="A16" s="68" t="s">
        <v>115</v>
      </c>
      <c r="B16" s="68" t="s">
        <v>66</v>
      </c>
      <c r="C16" s="69" t="s">
        <v>131</v>
      </c>
      <c r="D16" s="68" t="s">
        <v>116</v>
      </c>
      <c r="E16" s="70">
        <v>30000</v>
      </c>
      <c r="F16" s="68">
        <v>1.75</v>
      </c>
      <c r="G16" s="68">
        <v>0.8</v>
      </c>
      <c r="H16" s="68">
        <v>0.8</v>
      </c>
      <c r="I16" s="71">
        <v>4</v>
      </c>
      <c r="J16" s="68">
        <v>0</v>
      </c>
      <c r="L16" s="68" t="s">
        <v>124</v>
      </c>
      <c r="M16" s="73">
        <v>80</v>
      </c>
      <c r="N16" s="74">
        <f t="shared" si="0"/>
        <v>0.81951219512195117</v>
      </c>
      <c r="O16" s="68">
        <v>3.5000000000000003E-2</v>
      </c>
      <c r="P16" s="68">
        <v>0.75</v>
      </c>
      <c r="Q16" s="68">
        <v>0.6</v>
      </c>
      <c r="R16" s="68">
        <v>0.48</v>
      </c>
    </row>
    <row r="17" spans="1:18" ht="14.25" customHeight="1">
      <c r="A17" s="68" t="s">
        <v>115</v>
      </c>
      <c r="B17" s="68" t="s">
        <v>66</v>
      </c>
      <c r="C17" s="69" t="s">
        <v>132</v>
      </c>
      <c r="D17" s="68" t="s">
        <v>116</v>
      </c>
      <c r="E17" s="70">
        <v>30000</v>
      </c>
      <c r="F17" s="68">
        <v>1.75</v>
      </c>
      <c r="G17" s="68">
        <v>0.8</v>
      </c>
      <c r="H17" s="68">
        <v>0.8</v>
      </c>
      <c r="I17" s="71">
        <v>4</v>
      </c>
      <c r="J17" s="68">
        <v>0</v>
      </c>
      <c r="L17" s="68" t="s">
        <v>124</v>
      </c>
      <c r="M17" s="73">
        <v>80</v>
      </c>
      <c r="N17" s="74">
        <f t="shared" si="0"/>
        <v>0.81951219512195117</v>
      </c>
      <c r="O17" s="68">
        <v>3.5000000000000003E-2</v>
      </c>
      <c r="P17" s="68">
        <v>0.75</v>
      </c>
      <c r="Q17" s="68">
        <v>0.6</v>
      </c>
      <c r="R17" s="68">
        <v>0.48</v>
      </c>
    </row>
    <row r="18" spans="1:18" ht="14.25" customHeight="1">
      <c r="A18" s="68" t="s">
        <v>115</v>
      </c>
      <c r="B18" s="77" t="s">
        <v>61</v>
      </c>
      <c r="C18" s="78" t="s">
        <v>62</v>
      </c>
      <c r="D18" s="68" t="s">
        <v>116</v>
      </c>
      <c r="E18" s="70">
        <v>300000</v>
      </c>
      <c r="F18" s="68">
        <v>1.3</v>
      </c>
      <c r="G18" s="68">
        <v>0.8</v>
      </c>
      <c r="H18" s="68">
        <v>0.8</v>
      </c>
      <c r="I18" s="71">
        <v>3.5</v>
      </c>
      <c r="J18" s="68">
        <v>0</v>
      </c>
      <c r="L18" s="68" t="s">
        <v>124</v>
      </c>
      <c r="M18" s="73">
        <v>80</v>
      </c>
      <c r="N18" s="74">
        <f t="shared" si="0"/>
        <v>0.81951219512195117</v>
      </c>
      <c r="O18" s="68">
        <v>3.5000000000000003E-2</v>
      </c>
      <c r="P18" s="68">
        <v>0.75</v>
      </c>
      <c r="Q18" s="68">
        <v>0.6</v>
      </c>
      <c r="R18" s="68">
        <v>0.48</v>
      </c>
    </row>
    <row r="19" spans="1:18" ht="14.25" customHeight="1">
      <c r="C19" s="78"/>
    </row>
    <row r="20" spans="1:18" ht="14.25" customHeight="1">
      <c r="C20" s="78"/>
    </row>
    <row r="21" spans="1:18" ht="14.25" customHeight="1">
      <c r="C21" s="78"/>
    </row>
    <row r="22" spans="1:18" ht="14.25" customHeight="1">
      <c r="C22" s="78"/>
    </row>
    <row r="23" spans="1:18" ht="14.25" customHeight="1">
      <c r="A23" s="68" t="s">
        <v>115</v>
      </c>
      <c r="B23" s="68" t="s">
        <v>64</v>
      </c>
      <c r="C23" s="78">
        <v>109</v>
      </c>
      <c r="D23" s="68" t="s">
        <v>116</v>
      </c>
      <c r="E23" s="79">
        <v>25000</v>
      </c>
      <c r="F23" s="72">
        <f>(6/7)*0.8</f>
        <v>0.68571428571428572</v>
      </c>
      <c r="G23" s="72">
        <f>(4.6/6.7)*0.8</f>
        <v>0.54925373134328359</v>
      </c>
      <c r="H23" s="72">
        <f>(3.8/6.7)*0.8</f>
        <v>0.45373134328358211</v>
      </c>
      <c r="I23" s="72">
        <f>(3.6/6.7)*0.8</f>
        <v>0.42985074626865671</v>
      </c>
      <c r="J23" s="72">
        <f>(1/6.7)*0.8</f>
        <v>0.11940298507462686</v>
      </c>
      <c r="K23" s="68">
        <v>3.5000000000000003E-2</v>
      </c>
      <c r="L23" s="68" t="s">
        <v>117</v>
      </c>
      <c r="M23" s="68">
        <v>0</v>
      </c>
      <c r="N23" s="68">
        <f>M23*42/ECONOMICOS!$B$3</f>
        <v>0</v>
      </c>
    </row>
    <row r="24" spans="1:18" ht="14.25" customHeight="1">
      <c r="C24" s="78"/>
    </row>
    <row r="25" spans="1:18" ht="14.25" customHeight="1">
      <c r="C25" s="78"/>
    </row>
    <row r="26" spans="1:18" ht="14.25" customHeight="1">
      <c r="C26" s="78"/>
    </row>
    <row r="27" spans="1:18" ht="14.25" customHeight="1">
      <c r="C27" s="78"/>
    </row>
    <row r="28" spans="1:18" ht="14.25" customHeight="1">
      <c r="C28" s="78"/>
    </row>
    <row r="29" spans="1:18" ht="14.25" customHeight="1">
      <c r="C29" s="78"/>
    </row>
    <row r="30" spans="1:18" ht="14.25" customHeight="1">
      <c r="A30" s="94" t="s">
        <v>133</v>
      </c>
      <c r="B30" s="95"/>
      <c r="C30" s="95"/>
    </row>
    <row r="31" spans="1:18" ht="14.25" customHeight="1">
      <c r="A31" s="80" t="s">
        <v>40</v>
      </c>
      <c r="B31" s="80" t="s">
        <v>134</v>
      </c>
      <c r="C31" s="80" t="s">
        <v>135</v>
      </c>
    </row>
    <row r="32" spans="1:18" ht="14.25" customHeight="1">
      <c r="A32" s="81">
        <v>5</v>
      </c>
      <c r="B32" s="82">
        <v>6.0730000000000004</v>
      </c>
      <c r="C32" s="82">
        <v>6.1260000000000003</v>
      </c>
    </row>
    <row r="33" spans="1:3" ht="14.25" customHeight="1">
      <c r="A33" s="81">
        <v>5.5</v>
      </c>
      <c r="B33" s="82">
        <v>6.0949999999999998</v>
      </c>
      <c r="C33" s="82">
        <v>6.149</v>
      </c>
    </row>
    <row r="34" spans="1:3" ht="14.25" customHeight="1">
      <c r="A34" s="81">
        <v>6</v>
      </c>
      <c r="B34" s="82">
        <v>6.1180000000000003</v>
      </c>
      <c r="C34" s="82">
        <v>6.1710000000000003</v>
      </c>
    </row>
    <row r="35" spans="1:3" ht="14.25" customHeight="1">
      <c r="A35" s="81">
        <v>6.5</v>
      </c>
      <c r="B35" s="82">
        <v>6.14</v>
      </c>
      <c r="C35" s="82">
        <v>6.194</v>
      </c>
    </row>
    <row r="36" spans="1:3" ht="14.25" customHeight="1">
      <c r="A36" s="81">
        <v>7</v>
      </c>
      <c r="B36" s="82">
        <v>6.1619999999999999</v>
      </c>
      <c r="C36" s="82">
        <v>6.2169999999999996</v>
      </c>
    </row>
    <row r="37" spans="1:3" ht="14.25" customHeight="1">
      <c r="A37" s="81">
        <v>7.5</v>
      </c>
      <c r="B37" s="82">
        <v>6.1840000000000002</v>
      </c>
      <c r="C37" s="82">
        <v>6.24</v>
      </c>
    </row>
    <row r="38" spans="1:3" ht="14.25" customHeight="1">
      <c r="A38" s="81">
        <v>8</v>
      </c>
      <c r="B38" s="82">
        <v>6.2069999999999999</v>
      </c>
      <c r="C38" s="82">
        <v>6.2629999999999999</v>
      </c>
    </row>
    <row r="39" spans="1:3" ht="14.25" customHeight="1">
      <c r="A39" s="81">
        <v>8.5</v>
      </c>
      <c r="B39" s="82">
        <v>6.2290000000000001</v>
      </c>
      <c r="C39" s="82">
        <v>6.2859999999999996</v>
      </c>
    </row>
    <row r="40" spans="1:3" ht="14.25" customHeight="1">
      <c r="A40" s="81">
        <v>9</v>
      </c>
      <c r="B40" s="82">
        <v>6.2510000000000003</v>
      </c>
      <c r="C40" s="82">
        <v>6.3090000000000002</v>
      </c>
    </row>
    <row r="41" spans="1:3" ht="14.25" customHeight="1">
      <c r="A41" s="81">
        <v>9.5</v>
      </c>
      <c r="B41" s="82">
        <v>6.2729999999999997</v>
      </c>
      <c r="C41" s="82">
        <v>6.3310000000000004</v>
      </c>
    </row>
    <row r="42" spans="1:3" ht="14.25" customHeight="1">
      <c r="A42" s="81">
        <v>10</v>
      </c>
      <c r="B42" s="82">
        <v>6.2949999999999999</v>
      </c>
      <c r="C42" s="82">
        <v>6.3540000000000001</v>
      </c>
    </row>
    <row r="43" spans="1:3" ht="14.25" customHeight="1">
      <c r="A43" s="81">
        <v>10.5</v>
      </c>
      <c r="B43" s="82">
        <v>6.3179999999999996</v>
      </c>
      <c r="C43" s="82">
        <v>6.3769999999999998</v>
      </c>
    </row>
    <row r="44" spans="1:3" ht="14.25" customHeight="1">
      <c r="A44" s="81">
        <v>11</v>
      </c>
      <c r="B44" s="82">
        <v>6.34</v>
      </c>
      <c r="C44" s="82">
        <v>6.4</v>
      </c>
    </row>
    <row r="45" spans="1:3" ht="14.25" customHeight="1">
      <c r="A45" s="81">
        <v>11.5</v>
      </c>
      <c r="B45" s="82">
        <v>6.3620000000000001</v>
      </c>
      <c r="C45" s="82">
        <v>6.423</v>
      </c>
    </row>
    <row r="46" spans="1:3" ht="14.25" customHeight="1">
      <c r="A46" s="81">
        <v>12</v>
      </c>
      <c r="B46" s="82">
        <v>6.3840000000000003</v>
      </c>
      <c r="C46" s="82">
        <v>6.4459999999999997</v>
      </c>
    </row>
    <row r="47" spans="1:3" ht="14.25" customHeight="1">
      <c r="A47" s="81">
        <v>12.5</v>
      </c>
      <c r="B47" s="82">
        <v>6.407</v>
      </c>
      <c r="C47" s="82">
        <v>6.4690000000000003</v>
      </c>
    </row>
    <row r="48" spans="1:3" ht="14.25" customHeight="1">
      <c r="A48" s="81">
        <v>13</v>
      </c>
      <c r="B48" s="82">
        <v>6.4290000000000003</v>
      </c>
      <c r="C48" s="82">
        <v>6.492</v>
      </c>
    </row>
    <row r="49" spans="1:3" ht="14.25" customHeight="1">
      <c r="A49" s="81">
        <v>13.5</v>
      </c>
      <c r="B49" s="82">
        <v>6.4509999999999996</v>
      </c>
      <c r="C49" s="82">
        <v>6.5149999999999997</v>
      </c>
    </row>
    <row r="50" spans="1:3" ht="14.25" customHeight="1">
      <c r="A50" s="81">
        <v>14</v>
      </c>
      <c r="B50" s="82">
        <v>6.4729999999999999</v>
      </c>
      <c r="C50" s="82">
        <v>6.5369999999999999</v>
      </c>
    </row>
    <row r="51" spans="1:3" ht="14.25" customHeight="1">
      <c r="A51" s="81">
        <v>14.5</v>
      </c>
      <c r="B51" s="82">
        <v>6.4960000000000004</v>
      </c>
      <c r="C51" s="82">
        <v>6.56</v>
      </c>
    </row>
    <row r="52" spans="1:3" ht="14.25" customHeight="1">
      <c r="A52" s="81">
        <v>15</v>
      </c>
      <c r="B52" s="82">
        <v>6.5179999999999998</v>
      </c>
      <c r="C52" s="82">
        <v>6.5830000000000002</v>
      </c>
    </row>
    <row r="53" spans="1:3" ht="14.25" customHeight="1">
      <c r="A53" s="81">
        <v>15.5</v>
      </c>
      <c r="B53" s="82">
        <v>6.54</v>
      </c>
      <c r="C53" s="82">
        <v>6.6059999999999999</v>
      </c>
    </row>
    <row r="54" spans="1:3" ht="14.25" customHeight="1">
      <c r="A54" s="81">
        <v>16</v>
      </c>
      <c r="B54" s="82">
        <v>6.5620000000000003</v>
      </c>
      <c r="C54" s="82">
        <v>6.6289999999999996</v>
      </c>
    </row>
    <row r="55" spans="1:3" ht="14.25" customHeight="1">
      <c r="A55" s="81">
        <v>16.5</v>
      </c>
      <c r="B55" s="82">
        <v>6.585</v>
      </c>
      <c r="C55" s="82">
        <v>6.6520000000000001</v>
      </c>
    </row>
    <row r="56" spans="1:3" ht="14.25" customHeight="1">
      <c r="A56" s="81">
        <v>17</v>
      </c>
      <c r="B56" s="82">
        <v>6.6070000000000002</v>
      </c>
      <c r="C56" s="82">
        <v>6.6749999999999998</v>
      </c>
    </row>
    <row r="57" spans="1:3" ht="14.25" customHeight="1">
      <c r="A57" s="81">
        <v>17.5</v>
      </c>
      <c r="B57" s="82">
        <v>6.6289999999999996</v>
      </c>
      <c r="C57" s="82">
        <v>6.6980000000000004</v>
      </c>
    </row>
    <row r="58" spans="1:3" ht="14.25" customHeight="1">
      <c r="A58" s="81">
        <v>18</v>
      </c>
      <c r="B58" s="82">
        <v>6.6509999999999998</v>
      </c>
      <c r="C58" s="82">
        <v>6.7210000000000001</v>
      </c>
    </row>
    <row r="59" spans="1:3" ht="14.25" customHeight="1">
      <c r="A59" s="81">
        <v>18.5</v>
      </c>
      <c r="B59" s="82">
        <v>6.6740000000000004</v>
      </c>
      <c r="C59" s="82">
        <v>6.7439999999999998</v>
      </c>
    </row>
    <row r="60" spans="1:3" ht="14.25" customHeight="1">
      <c r="A60" s="81">
        <v>19</v>
      </c>
      <c r="B60" s="82">
        <v>6.6959999999999997</v>
      </c>
      <c r="C60" s="82">
        <v>6.7670000000000003</v>
      </c>
    </row>
    <row r="61" spans="1:3" ht="14.25" customHeight="1">
      <c r="A61" s="81">
        <v>19.5</v>
      </c>
      <c r="B61" s="82">
        <v>6.718</v>
      </c>
      <c r="C61" s="82">
        <v>6.79</v>
      </c>
    </row>
    <row r="62" spans="1:3" ht="14.25" customHeight="1">
      <c r="A62" s="81">
        <v>20</v>
      </c>
      <c r="B62" s="82">
        <v>6.74</v>
      </c>
      <c r="C62" s="82">
        <v>6.8129999999999997</v>
      </c>
    </row>
    <row r="63" spans="1:3" ht="14.25" customHeight="1">
      <c r="A63" s="81">
        <v>20.5</v>
      </c>
      <c r="B63" s="82">
        <v>6.7629999999999999</v>
      </c>
      <c r="C63" s="82">
        <v>6.8360000000000003</v>
      </c>
    </row>
    <row r="64" spans="1:3" ht="14.25" customHeight="1">
      <c r="A64" s="81">
        <v>21</v>
      </c>
      <c r="B64" s="82">
        <v>6.7850000000000001</v>
      </c>
      <c r="C64" s="82">
        <v>6.859</v>
      </c>
    </row>
    <row r="65" spans="1:3" ht="14.25" customHeight="1">
      <c r="A65" s="81">
        <v>21.5</v>
      </c>
      <c r="B65" s="82">
        <v>6.8070000000000004</v>
      </c>
      <c r="C65" s="82">
        <v>6.8819999999999997</v>
      </c>
    </row>
    <row r="66" spans="1:3" ht="14.25" customHeight="1">
      <c r="A66" s="81">
        <v>22</v>
      </c>
      <c r="B66" s="82">
        <v>6.8289999999999997</v>
      </c>
      <c r="C66" s="82">
        <v>6.9050000000000002</v>
      </c>
    </row>
    <row r="67" spans="1:3" ht="14.25" customHeight="1">
      <c r="A67" s="81">
        <v>22.5</v>
      </c>
      <c r="B67" s="82">
        <v>6.8520000000000003</v>
      </c>
      <c r="C67" s="82">
        <v>6.9279999999999999</v>
      </c>
    </row>
    <row r="68" spans="1:3" ht="14.25" customHeight="1">
      <c r="A68" s="81">
        <v>23</v>
      </c>
      <c r="B68" s="82">
        <v>6.8739999999999997</v>
      </c>
      <c r="C68" s="82">
        <v>6.9509999999999996</v>
      </c>
    </row>
    <row r="69" spans="1:3" ht="14.25" customHeight="1">
      <c r="A69" s="81">
        <v>23.5</v>
      </c>
      <c r="B69" s="82">
        <v>6.8959999999999999</v>
      </c>
      <c r="C69" s="82">
        <v>6.9740000000000002</v>
      </c>
    </row>
    <row r="70" spans="1:3" ht="14.25" customHeight="1">
      <c r="A70" s="81">
        <v>24</v>
      </c>
      <c r="B70" s="82">
        <v>6.9180000000000001</v>
      </c>
      <c r="C70" s="82">
        <v>6.9969999999999999</v>
      </c>
    </row>
    <row r="71" spans="1:3" ht="14.25" customHeight="1">
      <c r="A71" s="81">
        <v>24.5</v>
      </c>
      <c r="B71" s="82">
        <v>6.9409999999999998</v>
      </c>
      <c r="C71" s="82">
        <v>7.02</v>
      </c>
    </row>
    <row r="72" spans="1:3" ht="14.25" customHeight="1">
      <c r="A72" s="81">
        <v>25</v>
      </c>
      <c r="B72" s="82">
        <v>6.9630000000000001</v>
      </c>
      <c r="C72" s="82">
        <v>7.0430000000000001</v>
      </c>
    </row>
    <row r="73" spans="1:3" ht="14.25" customHeight="1">
      <c r="A73" s="81">
        <v>25.5</v>
      </c>
      <c r="B73" s="82">
        <v>6.9850000000000003</v>
      </c>
      <c r="C73" s="82">
        <v>7.0659999999999998</v>
      </c>
    </row>
    <row r="74" spans="1:3" ht="14.25" customHeight="1">
      <c r="A74" s="81">
        <v>26</v>
      </c>
      <c r="B74" s="82">
        <v>7.0069999999999997</v>
      </c>
      <c r="C74" s="82">
        <v>7.0890000000000004</v>
      </c>
    </row>
    <row r="75" spans="1:3" ht="14.25" customHeight="1">
      <c r="A75" s="81">
        <v>26.5</v>
      </c>
      <c r="B75" s="82">
        <v>7.03</v>
      </c>
      <c r="C75" s="82">
        <v>7.1120000000000001</v>
      </c>
    </row>
    <row r="76" spans="1:3" ht="14.25" customHeight="1">
      <c r="A76" s="81">
        <v>27</v>
      </c>
      <c r="B76" s="82">
        <v>7.0519999999999996</v>
      </c>
      <c r="C76" s="82">
        <v>7.1349999999999998</v>
      </c>
    </row>
    <row r="77" spans="1:3" ht="14.25" customHeight="1">
      <c r="A77" s="81">
        <v>27.5</v>
      </c>
      <c r="B77" s="82">
        <v>7.0739999999999998</v>
      </c>
      <c r="C77" s="82">
        <v>7.1580000000000004</v>
      </c>
    </row>
    <row r="78" spans="1:3" ht="14.25" customHeight="1">
      <c r="A78" s="81">
        <v>28</v>
      </c>
      <c r="B78" s="82">
        <v>7.0960000000000001</v>
      </c>
      <c r="C78" s="82">
        <v>7.181</v>
      </c>
    </row>
    <row r="79" spans="1:3" ht="14.25" customHeight="1">
      <c r="A79" s="81">
        <v>28.5</v>
      </c>
      <c r="B79" s="82">
        <v>7.1189999999999998</v>
      </c>
      <c r="C79" s="82">
        <v>7.2039999999999997</v>
      </c>
    </row>
    <row r="80" spans="1:3" ht="14.25" customHeight="1">
      <c r="A80" s="81">
        <v>29</v>
      </c>
      <c r="B80" s="82">
        <v>7.141</v>
      </c>
      <c r="C80" s="82">
        <v>7.2270000000000003</v>
      </c>
    </row>
    <row r="81" spans="1:3" ht="14.25" customHeight="1">
      <c r="A81" s="81">
        <v>29.5</v>
      </c>
      <c r="B81" s="82">
        <v>7.1630000000000003</v>
      </c>
      <c r="C81" s="82">
        <v>7.25</v>
      </c>
    </row>
    <row r="82" spans="1:3" ht="14.25" customHeight="1">
      <c r="A82" s="81">
        <v>30</v>
      </c>
      <c r="B82" s="82">
        <v>7.1849999999999996</v>
      </c>
      <c r="C82" s="82">
        <v>7.2729999999999997</v>
      </c>
    </row>
    <row r="83" spans="1:3" ht="14.25" customHeight="1">
      <c r="A83" s="81">
        <v>30.5</v>
      </c>
      <c r="B83" s="82">
        <v>7.2080000000000002</v>
      </c>
      <c r="C83" s="82">
        <v>7.2960000000000003</v>
      </c>
    </row>
    <row r="84" spans="1:3" ht="14.25" customHeight="1">
      <c r="A84" s="81">
        <v>31</v>
      </c>
      <c r="B84" s="82">
        <v>7.23</v>
      </c>
      <c r="C84" s="82">
        <v>7.319</v>
      </c>
    </row>
    <row r="85" spans="1:3" ht="14.25" customHeight="1">
      <c r="A85" s="81">
        <v>31.5</v>
      </c>
      <c r="B85" s="82">
        <v>7.2519999999999998</v>
      </c>
      <c r="C85" s="82">
        <v>7.3419999999999996</v>
      </c>
    </row>
    <row r="86" spans="1:3" ht="14.25" customHeight="1">
      <c r="A86" s="81">
        <v>32</v>
      </c>
      <c r="B86" s="82">
        <v>7.274</v>
      </c>
      <c r="C86" s="82">
        <v>7.3650000000000002</v>
      </c>
    </row>
    <row r="87" spans="1:3" ht="14.25" customHeight="1">
      <c r="A87" s="81">
        <v>32.5</v>
      </c>
      <c r="B87" s="82">
        <v>7.2969999999999997</v>
      </c>
      <c r="C87" s="82">
        <v>7.3879999999999999</v>
      </c>
    </row>
    <row r="88" spans="1:3" ht="14.25" customHeight="1">
      <c r="A88" s="81">
        <v>33</v>
      </c>
      <c r="B88" s="82">
        <v>7.319</v>
      </c>
      <c r="C88" s="82">
        <v>7.4119999999999999</v>
      </c>
    </row>
    <row r="89" spans="1:3" ht="14.25" customHeight="1">
      <c r="A89" s="81">
        <v>33.5</v>
      </c>
      <c r="B89" s="82">
        <v>7.3410000000000002</v>
      </c>
      <c r="C89" s="82">
        <v>7.4349999999999996</v>
      </c>
    </row>
    <row r="90" spans="1:3" ht="14.25" customHeight="1">
      <c r="A90" s="81">
        <v>34</v>
      </c>
      <c r="B90" s="82">
        <v>7.3630000000000004</v>
      </c>
      <c r="C90" s="82">
        <v>7.4580000000000002</v>
      </c>
    </row>
    <row r="91" spans="1:3" ht="14.25" customHeight="1">
      <c r="A91" s="81">
        <v>34.5</v>
      </c>
      <c r="B91" s="82">
        <v>7.3860000000000001</v>
      </c>
      <c r="C91" s="82">
        <v>7.4809999999999999</v>
      </c>
    </row>
    <row r="92" spans="1:3" ht="14.25" customHeight="1">
      <c r="A92" s="81">
        <v>35</v>
      </c>
      <c r="B92" s="82">
        <v>7.4080000000000004</v>
      </c>
      <c r="C92" s="82">
        <v>7.5039999999999996</v>
      </c>
    </row>
    <row r="93" spans="1:3" ht="14.25" customHeight="1">
      <c r="A93" s="81">
        <v>35.5</v>
      </c>
      <c r="B93" s="82">
        <v>7.43</v>
      </c>
      <c r="C93" s="82">
        <v>7.5270000000000001</v>
      </c>
    </row>
    <row r="94" spans="1:3" ht="14.25" customHeight="1">
      <c r="A94" s="81">
        <v>36</v>
      </c>
      <c r="B94" s="82">
        <v>7.452</v>
      </c>
      <c r="C94" s="82">
        <v>7.55</v>
      </c>
    </row>
    <row r="95" spans="1:3" ht="14.25" customHeight="1">
      <c r="A95" s="81">
        <v>36.5</v>
      </c>
      <c r="B95" s="82">
        <v>7.4749999999999996</v>
      </c>
      <c r="C95" s="82">
        <v>7.5730000000000004</v>
      </c>
    </row>
    <row r="96" spans="1:3" ht="14.25" customHeight="1">
      <c r="A96" s="81">
        <v>37</v>
      </c>
      <c r="B96" s="82">
        <v>7.4969999999999999</v>
      </c>
      <c r="C96" s="82">
        <v>7.5970000000000004</v>
      </c>
    </row>
    <row r="97" spans="1:3" ht="14.25" customHeight="1">
      <c r="A97" s="81">
        <v>37.5</v>
      </c>
      <c r="B97" s="82">
        <v>7.5190000000000001</v>
      </c>
      <c r="C97" s="82">
        <v>7.62</v>
      </c>
    </row>
    <row r="98" spans="1:3" ht="14.25" customHeight="1">
      <c r="A98" s="81">
        <v>38</v>
      </c>
      <c r="B98" s="82">
        <v>7.5410000000000004</v>
      </c>
      <c r="C98" s="82">
        <v>7.6429999999999998</v>
      </c>
    </row>
    <row r="99" spans="1:3" ht="14.25" customHeight="1">
      <c r="A99" s="81">
        <v>38.5</v>
      </c>
      <c r="B99" s="82">
        <v>7.5629999999999997</v>
      </c>
      <c r="C99" s="82">
        <v>7.6660000000000004</v>
      </c>
    </row>
    <row r="100" spans="1:3" ht="14.25" customHeight="1">
      <c r="A100" s="81">
        <v>39</v>
      </c>
      <c r="B100" s="82">
        <v>7.5860000000000003</v>
      </c>
      <c r="C100" s="82">
        <v>7.6890000000000001</v>
      </c>
    </row>
    <row r="101" spans="1:3" ht="14.25" customHeight="1">
      <c r="A101" s="81">
        <v>39.5</v>
      </c>
      <c r="B101" s="82">
        <v>7.6079999999999997</v>
      </c>
      <c r="C101" s="82">
        <v>7.7119999999999997</v>
      </c>
    </row>
    <row r="102" spans="1:3" ht="14.25" customHeight="1">
      <c r="A102" s="81">
        <v>40</v>
      </c>
      <c r="B102" s="82">
        <v>7.63</v>
      </c>
      <c r="C102" s="82">
        <v>7.7350000000000003</v>
      </c>
    </row>
    <row r="103" spans="1:3" ht="14.25" customHeight="1">
      <c r="A103" s="81">
        <v>40.5</v>
      </c>
      <c r="B103" s="82">
        <v>7.6520000000000001</v>
      </c>
      <c r="C103" s="82">
        <v>7.7590000000000003</v>
      </c>
    </row>
    <row r="104" spans="1:3" ht="14.25" customHeight="1">
      <c r="A104" s="81">
        <v>41</v>
      </c>
      <c r="B104" s="82">
        <v>7.6749999999999998</v>
      </c>
      <c r="C104" s="82">
        <v>7.782</v>
      </c>
    </row>
    <row r="105" spans="1:3" ht="14.25" customHeight="1">
      <c r="A105" s="81">
        <v>41.5</v>
      </c>
      <c r="B105" s="82">
        <v>7.6970000000000001</v>
      </c>
      <c r="C105" s="82">
        <v>7.8049999999999997</v>
      </c>
    </row>
    <row r="106" spans="1:3" ht="14.25" customHeight="1">
      <c r="A106" s="81">
        <v>42</v>
      </c>
      <c r="B106" s="82">
        <v>7.7190000000000003</v>
      </c>
      <c r="C106" s="82">
        <v>7.8280000000000003</v>
      </c>
    </row>
    <row r="107" spans="1:3" ht="14.25" customHeight="1">
      <c r="A107" s="81">
        <v>42.5</v>
      </c>
      <c r="B107" s="82">
        <v>7.7409999999999997</v>
      </c>
      <c r="C107" s="82">
        <v>7.851</v>
      </c>
    </row>
    <row r="108" spans="1:3" ht="14.25" customHeight="1">
      <c r="A108" s="81">
        <v>43</v>
      </c>
      <c r="B108" s="82">
        <v>7.7640000000000002</v>
      </c>
      <c r="C108" s="82">
        <v>7.875</v>
      </c>
    </row>
    <row r="109" spans="1:3" ht="14.25" customHeight="1">
      <c r="A109" s="81">
        <v>43.5</v>
      </c>
      <c r="B109" s="82">
        <v>7.7859999999999996</v>
      </c>
      <c r="C109" s="82">
        <v>7.8979999999999997</v>
      </c>
    </row>
    <row r="110" spans="1:3" ht="14.25" customHeight="1">
      <c r="A110" s="81">
        <v>44</v>
      </c>
      <c r="B110" s="82">
        <v>7.8079999999999998</v>
      </c>
      <c r="C110" s="82">
        <v>7.9210000000000003</v>
      </c>
    </row>
    <row r="111" spans="1:3" ht="14.25" customHeight="1">
      <c r="A111" s="81">
        <v>44.5</v>
      </c>
      <c r="B111" s="82">
        <v>7.83</v>
      </c>
      <c r="C111" s="82">
        <v>7.944</v>
      </c>
    </row>
    <row r="112" spans="1:3" ht="14.25" customHeight="1">
      <c r="A112" s="81">
        <v>45</v>
      </c>
      <c r="B112" s="82">
        <v>7.8529999999999998</v>
      </c>
      <c r="C112" s="82">
        <v>7.968</v>
      </c>
    </row>
    <row r="113" spans="1:3" ht="14.25" customHeight="1">
      <c r="A113" s="81">
        <v>45.5</v>
      </c>
      <c r="B113" s="82">
        <v>7.875</v>
      </c>
      <c r="C113" s="82">
        <v>7.9909999999999997</v>
      </c>
    </row>
    <row r="114" spans="1:3" ht="14.25" customHeight="1">
      <c r="A114" s="81">
        <v>46</v>
      </c>
      <c r="B114" s="82">
        <v>7.8970000000000002</v>
      </c>
      <c r="C114" s="82">
        <v>8.0139999999999993</v>
      </c>
    </row>
    <row r="115" spans="1:3" ht="14.25" customHeight="1">
      <c r="A115" s="81">
        <v>46.5</v>
      </c>
      <c r="B115" s="82">
        <v>7.9189999999999996</v>
      </c>
      <c r="C115" s="82">
        <v>8.0370000000000008</v>
      </c>
    </row>
    <row r="116" spans="1:3" ht="14.25" customHeight="1">
      <c r="A116" s="81">
        <v>47</v>
      </c>
      <c r="B116" s="82">
        <v>7.9420000000000002</v>
      </c>
      <c r="C116" s="82">
        <v>8.0609999999999999</v>
      </c>
    </row>
    <row r="117" spans="1:3" ht="14.25" customHeight="1">
      <c r="A117" s="81">
        <v>47.5</v>
      </c>
      <c r="B117" s="82">
        <v>7.9640000000000004</v>
      </c>
      <c r="C117" s="82">
        <v>8.0839999999999996</v>
      </c>
    </row>
    <row r="118" spans="1:3" ht="14.25" customHeight="1">
      <c r="A118" s="81">
        <v>48</v>
      </c>
      <c r="B118" s="82">
        <v>7.9859999999999998</v>
      </c>
      <c r="C118" s="82">
        <v>8.1069999999999993</v>
      </c>
    </row>
    <row r="119" spans="1:3" ht="14.25" customHeight="1">
      <c r="A119" s="81">
        <v>48.5</v>
      </c>
      <c r="B119" s="82">
        <v>8.0079999999999991</v>
      </c>
      <c r="C119" s="82">
        <v>8.1300000000000008</v>
      </c>
    </row>
    <row r="120" spans="1:3" ht="14.25" customHeight="1">
      <c r="A120" s="81">
        <v>49</v>
      </c>
      <c r="B120" s="82">
        <v>8.0310000000000006</v>
      </c>
      <c r="C120" s="82">
        <v>8.1539999999999999</v>
      </c>
    </row>
    <row r="121" spans="1:3" ht="14.25" customHeight="1">
      <c r="A121" s="81">
        <v>49.5</v>
      </c>
      <c r="B121" s="82">
        <v>8.0530000000000008</v>
      </c>
      <c r="C121" s="82">
        <v>8.1769999999999996</v>
      </c>
    </row>
    <row r="122" spans="1:3" ht="14.25" customHeight="1">
      <c r="A122" s="81">
        <v>50</v>
      </c>
      <c r="B122" s="82">
        <v>8.0749999999999993</v>
      </c>
      <c r="C122" s="82">
        <v>8.1999999999999993</v>
      </c>
    </row>
    <row r="123" spans="1:3" ht="14.25" customHeight="1">
      <c r="C123" s="78"/>
    </row>
    <row r="124" spans="1:3" ht="14.25" customHeight="1">
      <c r="C124" s="78"/>
    </row>
    <row r="125" spans="1:3" ht="14.25" customHeight="1">
      <c r="C125" s="78"/>
    </row>
    <row r="126" spans="1:3" ht="14.25" customHeight="1">
      <c r="C126" s="78"/>
    </row>
    <row r="127" spans="1:3" ht="14.25" customHeight="1">
      <c r="C127" s="78"/>
    </row>
    <row r="128" spans="1:3" ht="14.25" customHeight="1">
      <c r="C128" s="78"/>
    </row>
    <row r="129" spans="3:3" ht="14.25" customHeight="1">
      <c r="C129" s="78"/>
    </row>
    <row r="130" spans="3:3" ht="14.25" customHeight="1">
      <c r="C130" s="78"/>
    </row>
    <row r="131" spans="3:3" ht="14.25" customHeight="1">
      <c r="C131" s="78"/>
    </row>
    <row r="132" spans="3:3" ht="14.25" customHeight="1">
      <c r="C132" s="78"/>
    </row>
    <row r="133" spans="3:3" ht="14.25" customHeight="1">
      <c r="C133" s="78"/>
    </row>
    <row r="134" spans="3:3" ht="14.25" customHeight="1">
      <c r="C134" s="78"/>
    </row>
    <row r="135" spans="3:3" ht="14.25" customHeight="1">
      <c r="C135" s="78"/>
    </row>
    <row r="136" spans="3:3" ht="14.25" customHeight="1">
      <c r="C136" s="78"/>
    </row>
    <row r="137" spans="3:3" ht="14.25" customHeight="1">
      <c r="C137" s="78"/>
    </row>
    <row r="138" spans="3:3" ht="14.25" customHeight="1">
      <c r="C138" s="78"/>
    </row>
    <row r="139" spans="3:3" ht="14.25" customHeight="1">
      <c r="C139" s="78"/>
    </row>
    <row r="140" spans="3:3" ht="14.25" customHeight="1">
      <c r="C140" s="78"/>
    </row>
    <row r="141" spans="3:3" ht="14.25" customHeight="1">
      <c r="C141" s="78"/>
    </row>
    <row r="142" spans="3:3" ht="14.25" customHeight="1">
      <c r="C142" s="78"/>
    </row>
    <row r="143" spans="3:3" ht="14.25" customHeight="1">
      <c r="C143" s="78"/>
    </row>
    <row r="144" spans="3:3" ht="14.25" customHeight="1">
      <c r="C144" s="78"/>
    </row>
    <row r="145" spans="3:3" ht="14.25" customHeight="1">
      <c r="C145" s="78"/>
    </row>
    <row r="146" spans="3:3" ht="14.25" customHeight="1">
      <c r="C146" s="78"/>
    </row>
    <row r="147" spans="3:3" ht="14.25" customHeight="1">
      <c r="C147" s="78"/>
    </row>
    <row r="148" spans="3:3" ht="14.25" customHeight="1">
      <c r="C148" s="78"/>
    </row>
    <row r="149" spans="3:3" ht="14.25" customHeight="1">
      <c r="C149" s="78"/>
    </row>
    <row r="150" spans="3:3" ht="14.25" customHeight="1">
      <c r="C150" s="78"/>
    </row>
    <row r="151" spans="3:3" ht="14.25" customHeight="1">
      <c r="C151" s="78"/>
    </row>
    <row r="152" spans="3:3" ht="14.25" customHeight="1">
      <c r="C152" s="78"/>
    </row>
    <row r="153" spans="3:3" ht="14.25" customHeight="1">
      <c r="C153" s="78"/>
    </row>
    <row r="154" spans="3:3" ht="14.25" customHeight="1">
      <c r="C154" s="78"/>
    </row>
    <row r="155" spans="3:3" ht="14.25" customHeight="1">
      <c r="C155" s="78"/>
    </row>
    <row r="156" spans="3:3" ht="14.25" customHeight="1">
      <c r="C156" s="78"/>
    </row>
    <row r="157" spans="3:3" ht="14.25" customHeight="1">
      <c r="C157" s="78"/>
    </row>
    <row r="158" spans="3:3" ht="14.25" customHeight="1">
      <c r="C158" s="78"/>
    </row>
    <row r="159" spans="3:3" ht="14.25" customHeight="1">
      <c r="C159" s="78"/>
    </row>
    <row r="160" spans="3:3" ht="14.25" customHeight="1">
      <c r="C160" s="78"/>
    </row>
    <row r="161" spans="3:3" ht="14.25" customHeight="1">
      <c r="C161" s="78"/>
    </row>
    <row r="162" spans="3:3" ht="14.25" customHeight="1">
      <c r="C162" s="78"/>
    </row>
    <row r="163" spans="3:3" ht="14.25" customHeight="1">
      <c r="C163" s="78"/>
    </row>
    <row r="164" spans="3:3" ht="14.25" customHeight="1">
      <c r="C164" s="78"/>
    </row>
    <row r="165" spans="3:3" ht="14.25" customHeight="1">
      <c r="C165" s="78"/>
    </row>
    <row r="166" spans="3:3" ht="14.25" customHeight="1">
      <c r="C166" s="78"/>
    </row>
    <row r="167" spans="3:3" ht="14.25" customHeight="1">
      <c r="C167" s="78"/>
    </row>
    <row r="168" spans="3:3" ht="14.25" customHeight="1">
      <c r="C168" s="78"/>
    </row>
    <row r="169" spans="3:3" ht="14.25" customHeight="1">
      <c r="C169" s="78"/>
    </row>
    <row r="170" spans="3:3" ht="14.25" customHeight="1">
      <c r="C170" s="78"/>
    </row>
    <row r="171" spans="3:3" ht="14.25" customHeight="1">
      <c r="C171" s="78"/>
    </row>
    <row r="172" spans="3:3" ht="14.25" customHeight="1">
      <c r="C172" s="78"/>
    </row>
    <row r="173" spans="3:3" ht="14.25" customHeight="1">
      <c r="C173" s="78"/>
    </row>
    <row r="174" spans="3:3" ht="14.25" customHeight="1">
      <c r="C174" s="78"/>
    </row>
    <row r="175" spans="3:3" ht="14.25" customHeight="1">
      <c r="C175" s="78"/>
    </row>
    <row r="176" spans="3:3" ht="14.25" customHeight="1">
      <c r="C176" s="78"/>
    </row>
    <row r="177" spans="3:3" ht="14.25" customHeight="1">
      <c r="C177" s="78"/>
    </row>
    <row r="178" spans="3:3" ht="14.25" customHeight="1">
      <c r="C178" s="78"/>
    </row>
    <row r="179" spans="3:3" ht="14.25" customHeight="1">
      <c r="C179" s="78"/>
    </row>
    <row r="180" spans="3:3" ht="14.25" customHeight="1">
      <c r="C180" s="78"/>
    </row>
    <row r="181" spans="3:3" ht="14.25" customHeight="1">
      <c r="C181" s="78"/>
    </row>
    <row r="182" spans="3:3" ht="14.25" customHeight="1">
      <c r="C182" s="78"/>
    </row>
    <row r="183" spans="3:3" ht="14.25" customHeight="1">
      <c r="C183" s="78"/>
    </row>
    <row r="184" spans="3:3" ht="14.25" customHeight="1">
      <c r="C184" s="78"/>
    </row>
    <row r="185" spans="3:3" ht="14.25" customHeight="1">
      <c r="C185" s="78"/>
    </row>
    <row r="186" spans="3:3" ht="14.25" customHeight="1">
      <c r="C186" s="78"/>
    </row>
    <row r="187" spans="3:3" ht="14.25" customHeight="1">
      <c r="C187" s="78"/>
    </row>
    <row r="188" spans="3:3" ht="14.25" customHeight="1">
      <c r="C188" s="78"/>
    </row>
    <row r="189" spans="3:3" ht="14.25" customHeight="1">
      <c r="C189" s="78"/>
    </row>
    <row r="190" spans="3:3" ht="14.25" customHeight="1">
      <c r="C190" s="78"/>
    </row>
    <row r="191" spans="3:3" ht="14.25" customHeight="1">
      <c r="C191" s="78"/>
    </row>
    <row r="192" spans="3:3" ht="14.25" customHeight="1">
      <c r="C192" s="78"/>
    </row>
    <row r="193" spans="3:3" ht="14.25" customHeight="1">
      <c r="C193" s="78"/>
    </row>
    <row r="194" spans="3:3" ht="14.25" customHeight="1">
      <c r="C194" s="78"/>
    </row>
    <row r="195" spans="3:3" ht="14.25" customHeight="1">
      <c r="C195" s="78"/>
    </row>
    <row r="196" spans="3:3" ht="14.25" customHeight="1">
      <c r="C196" s="78"/>
    </row>
    <row r="197" spans="3:3" ht="14.25" customHeight="1">
      <c r="C197" s="78"/>
    </row>
    <row r="198" spans="3:3" ht="14.25" customHeight="1">
      <c r="C198" s="78"/>
    </row>
    <row r="199" spans="3:3" ht="14.25" customHeight="1">
      <c r="C199" s="78"/>
    </row>
    <row r="200" spans="3:3" ht="14.25" customHeight="1">
      <c r="C200" s="78"/>
    </row>
    <row r="201" spans="3:3" ht="14.25" customHeight="1">
      <c r="C201" s="78"/>
    </row>
    <row r="202" spans="3:3" ht="14.25" customHeight="1">
      <c r="C202" s="78"/>
    </row>
    <row r="203" spans="3:3" ht="14.25" customHeight="1">
      <c r="C203" s="78"/>
    </row>
    <row r="204" spans="3:3" ht="14.25" customHeight="1">
      <c r="C204" s="78"/>
    </row>
    <row r="205" spans="3:3" ht="14.25" customHeight="1">
      <c r="C205" s="78"/>
    </row>
    <row r="206" spans="3:3" ht="14.25" customHeight="1">
      <c r="C206" s="78"/>
    </row>
    <row r="207" spans="3:3" ht="14.25" customHeight="1">
      <c r="C207" s="78"/>
    </row>
    <row r="208" spans="3:3" ht="14.25" customHeight="1">
      <c r="C208" s="78"/>
    </row>
    <row r="209" spans="3:3" ht="14.25" customHeight="1">
      <c r="C209" s="78"/>
    </row>
    <row r="210" spans="3:3" ht="14.25" customHeight="1">
      <c r="C210" s="78"/>
    </row>
    <row r="211" spans="3:3" ht="14.25" customHeight="1">
      <c r="C211" s="78"/>
    </row>
    <row r="212" spans="3:3" ht="14.25" customHeight="1">
      <c r="C212" s="78"/>
    </row>
    <row r="213" spans="3:3" ht="14.25" customHeight="1">
      <c r="C213" s="78"/>
    </row>
    <row r="214" spans="3:3" ht="14.25" customHeight="1">
      <c r="C214" s="78"/>
    </row>
    <row r="215" spans="3:3" ht="14.25" customHeight="1">
      <c r="C215" s="78"/>
    </row>
    <row r="216" spans="3:3" ht="14.25" customHeight="1">
      <c r="C216" s="78"/>
    </row>
    <row r="217" spans="3:3" ht="14.25" customHeight="1">
      <c r="C217" s="78"/>
    </row>
    <row r="218" spans="3:3" ht="14.25" customHeight="1">
      <c r="C218" s="78"/>
    </row>
    <row r="219" spans="3:3" ht="14.25" customHeight="1">
      <c r="C219" s="78"/>
    </row>
    <row r="220" spans="3:3" ht="14.25" customHeight="1">
      <c r="C220" s="78"/>
    </row>
    <row r="221" spans="3:3" ht="14.25" customHeight="1">
      <c r="C221" s="78"/>
    </row>
    <row r="222" spans="3:3" ht="14.25" customHeight="1">
      <c r="C222" s="78"/>
    </row>
    <row r="223" spans="3:3" ht="14.25" customHeight="1">
      <c r="C223" s="78"/>
    </row>
    <row r="224" spans="3:3" ht="14.25" customHeight="1">
      <c r="C224" s="78"/>
    </row>
    <row r="225" spans="3:3" ht="14.25" customHeight="1">
      <c r="C225" s="78"/>
    </row>
    <row r="226" spans="3:3" ht="14.25" customHeight="1">
      <c r="C226" s="78"/>
    </row>
    <row r="227" spans="3:3" ht="14.25" customHeight="1">
      <c r="C227" s="78"/>
    </row>
    <row r="228" spans="3:3" ht="14.25" customHeight="1">
      <c r="C228" s="78"/>
    </row>
    <row r="229" spans="3:3" ht="14.25" customHeight="1">
      <c r="C229" s="78"/>
    </row>
    <row r="230" spans="3:3" ht="14.25" customHeight="1">
      <c r="C230" s="78"/>
    </row>
    <row r="231" spans="3:3" ht="14.25" customHeight="1">
      <c r="C231" s="78"/>
    </row>
    <row r="232" spans="3:3" ht="14.25" customHeight="1">
      <c r="C232" s="78"/>
    </row>
    <row r="233" spans="3:3" ht="14.25" customHeight="1">
      <c r="C233" s="78"/>
    </row>
    <row r="234" spans="3:3" ht="14.25" customHeight="1">
      <c r="C234" s="78"/>
    </row>
    <row r="235" spans="3:3" ht="14.25" customHeight="1">
      <c r="C235" s="78"/>
    </row>
    <row r="236" spans="3:3" ht="14.25" customHeight="1">
      <c r="C236" s="78"/>
    </row>
    <row r="237" spans="3:3" ht="14.25" customHeight="1">
      <c r="C237" s="78"/>
    </row>
    <row r="238" spans="3:3" ht="14.25" customHeight="1">
      <c r="C238" s="78"/>
    </row>
    <row r="239" spans="3:3" ht="14.25" customHeight="1">
      <c r="C239" s="78"/>
    </row>
    <row r="240" spans="3:3" ht="14.25" customHeight="1">
      <c r="C240" s="78"/>
    </row>
    <row r="241" spans="3:3" ht="14.25" customHeight="1">
      <c r="C241" s="78"/>
    </row>
    <row r="242" spans="3:3" ht="14.25" customHeight="1">
      <c r="C242" s="78"/>
    </row>
    <row r="243" spans="3:3" ht="14.25" customHeight="1">
      <c r="C243" s="78"/>
    </row>
    <row r="244" spans="3:3" ht="14.25" customHeight="1">
      <c r="C244" s="78"/>
    </row>
    <row r="245" spans="3:3" ht="14.25" customHeight="1">
      <c r="C245" s="78"/>
    </row>
    <row r="246" spans="3:3" ht="14.25" customHeight="1">
      <c r="C246" s="78"/>
    </row>
    <row r="247" spans="3:3" ht="14.25" customHeight="1">
      <c r="C247" s="78"/>
    </row>
    <row r="248" spans="3:3" ht="14.25" customHeight="1">
      <c r="C248" s="78"/>
    </row>
    <row r="249" spans="3:3" ht="14.25" customHeight="1">
      <c r="C249" s="78"/>
    </row>
    <row r="250" spans="3:3" ht="14.25" customHeight="1">
      <c r="C250" s="78"/>
    </row>
    <row r="251" spans="3:3" ht="14.25" customHeight="1">
      <c r="C251" s="78"/>
    </row>
    <row r="252" spans="3:3" ht="14.25" customHeight="1">
      <c r="C252" s="78"/>
    </row>
    <row r="253" spans="3:3" ht="14.25" customHeight="1">
      <c r="C253" s="78"/>
    </row>
    <row r="254" spans="3:3" ht="14.25" customHeight="1">
      <c r="C254" s="78"/>
    </row>
    <row r="255" spans="3:3" ht="14.25" customHeight="1">
      <c r="C255" s="78"/>
    </row>
    <row r="256" spans="3:3" ht="14.25" customHeight="1">
      <c r="C256" s="78"/>
    </row>
    <row r="257" spans="3:3" ht="14.25" customHeight="1">
      <c r="C257" s="78"/>
    </row>
    <row r="258" spans="3:3" ht="14.25" customHeight="1">
      <c r="C258" s="78"/>
    </row>
    <row r="259" spans="3:3" ht="14.25" customHeight="1">
      <c r="C259" s="78"/>
    </row>
    <row r="260" spans="3:3" ht="14.25" customHeight="1">
      <c r="C260" s="78"/>
    </row>
    <row r="261" spans="3:3" ht="14.25" customHeight="1">
      <c r="C261" s="78"/>
    </row>
    <row r="262" spans="3:3" ht="14.25" customHeight="1">
      <c r="C262" s="78"/>
    </row>
    <row r="263" spans="3:3" ht="14.25" customHeight="1">
      <c r="C263" s="78"/>
    </row>
    <row r="264" spans="3:3" ht="14.25" customHeight="1">
      <c r="C264" s="78"/>
    </row>
    <row r="265" spans="3:3" ht="14.25" customHeight="1">
      <c r="C265" s="78"/>
    </row>
    <row r="266" spans="3:3" ht="14.25" customHeight="1">
      <c r="C266" s="78"/>
    </row>
    <row r="267" spans="3:3" ht="14.25" customHeight="1">
      <c r="C267" s="78"/>
    </row>
    <row r="268" spans="3:3" ht="14.25" customHeight="1">
      <c r="C268" s="78"/>
    </row>
    <row r="269" spans="3:3" ht="14.25" customHeight="1">
      <c r="C269" s="78"/>
    </row>
    <row r="270" spans="3:3" ht="14.25" customHeight="1">
      <c r="C270" s="78"/>
    </row>
    <row r="271" spans="3:3" ht="14.25" customHeight="1">
      <c r="C271" s="78"/>
    </row>
    <row r="272" spans="3:3" ht="14.25" customHeight="1">
      <c r="C272" s="78"/>
    </row>
    <row r="273" spans="3:3" ht="14.25" customHeight="1">
      <c r="C273" s="78"/>
    </row>
    <row r="274" spans="3:3" ht="14.25" customHeight="1">
      <c r="C274" s="78"/>
    </row>
    <row r="275" spans="3:3" ht="14.25" customHeight="1">
      <c r="C275" s="78"/>
    </row>
    <row r="276" spans="3:3" ht="14.25" customHeight="1">
      <c r="C276" s="78"/>
    </row>
    <row r="277" spans="3:3" ht="14.25" customHeight="1">
      <c r="C277" s="78"/>
    </row>
    <row r="278" spans="3:3" ht="14.25" customHeight="1">
      <c r="C278" s="78"/>
    </row>
    <row r="279" spans="3:3" ht="14.25" customHeight="1">
      <c r="C279" s="78"/>
    </row>
    <row r="280" spans="3:3" ht="14.25" customHeight="1">
      <c r="C280" s="78"/>
    </row>
    <row r="281" spans="3:3" ht="14.25" customHeight="1">
      <c r="C281" s="78"/>
    </row>
    <row r="282" spans="3:3" ht="14.25" customHeight="1">
      <c r="C282" s="78"/>
    </row>
    <row r="283" spans="3:3" ht="14.25" customHeight="1">
      <c r="C283" s="78"/>
    </row>
    <row r="284" spans="3:3" ht="14.25" customHeight="1">
      <c r="C284" s="78"/>
    </row>
    <row r="285" spans="3:3" ht="14.25" customHeight="1">
      <c r="C285" s="78"/>
    </row>
    <row r="286" spans="3:3" ht="14.25" customHeight="1">
      <c r="C286" s="78"/>
    </row>
    <row r="287" spans="3:3" ht="14.25" customHeight="1">
      <c r="C287" s="78"/>
    </row>
    <row r="288" spans="3:3" ht="14.25" customHeight="1">
      <c r="C288" s="78"/>
    </row>
    <row r="289" spans="3:3" ht="14.25" customHeight="1">
      <c r="C289" s="78"/>
    </row>
    <row r="290" spans="3:3" ht="14.25" customHeight="1">
      <c r="C290" s="78"/>
    </row>
    <row r="291" spans="3:3" ht="14.25" customHeight="1">
      <c r="C291" s="78"/>
    </row>
    <row r="292" spans="3:3" ht="14.25" customHeight="1">
      <c r="C292" s="78"/>
    </row>
    <row r="293" spans="3:3" ht="14.25" customHeight="1">
      <c r="C293" s="78"/>
    </row>
    <row r="294" spans="3:3" ht="14.25" customHeight="1">
      <c r="C294" s="78"/>
    </row>
    <row r="295" spans="3:3" ht="14.25" customHeight="1">
      <c r="C295" s="78"/>
    </row>
    <row r="296" spans="3:3" ht="14.25" customHeight="1">
      <c r="C296" s="78"/>
    </row>
    <row r="297" spans="3:3" ht="14.25" customHeight="1">
      <c r="C297" s="78"/>
    </row>
    <row r="298" spans="3:3" ht="14.25" customHeight="1">
      <c r="C298" s="78"/>
    </row>
    <row r="299" spans="3:3" ht="14.25" customHeight="1">
      <c r="C299" s="78"/>
    </row>
    <row r="300" spans="3:3" ht="14.25" customHeight="1">
      <c r="C300" s="78"/>
    </row>
    <row r="301" spans="3:3" ht="14.25" customHeight="1">
      <c r="C301" s="78"/>
    </row>
    <row r="302" spans="3:3" ht="14.25" customHeight="1">
      <c r="C302" s="78"/>
    </row>
    <row r="303" spans="3:3" ht="14.25" customHeight="1">
      <c r="C303" s="78"/>
    </row>
    <row r="304" spans="3:3" ht="14.25" customHeight="1">
      <c r="C304" s="78"/>
    </row>
    <row r="305" spans="3:3" ht="14.25" customHeight="1">
      <c r="C305" s="78"/>
    </row>
    <row r="306" spans="3:3" ht="14.25" customHeight="1">
      <c r="C306" s="78"/>
    </row>
    <row r="307" spans="3:3" ht="14.25" customHeight="1">
      <c r="C307" s="78"/>
    </row>
    <row r="308" spans="3:3" ht="14.25" customHeight="1">
      <c r="C308" s="78"/>
    </row>
    <row r="309" spans="3:3" ht="14.25" customHeight="1">
      <c r="C309" s="78"/>
    </row>
    <row r="310" spans="3:3" ht="14.25" customHeight="1">
      <c r="C310" s="78"/>
    </row>
    <row r="311" spans="3:3" ht="14.25" customHeight="1">
      <c r="C311" s="78"/>
    </row>
    <row r="312" spans="3:3" ht="14.25" customHeight="1">
      <c r="C312" s="78"/>
    </row>
    <row r="313" spans="3:3" ht="14.25" customHeight="1">
      <c r="C313" s="78"/>
    </row>
    <row r="314" spans="3:3" ht="14.25" customHeight="1">
      <c r="C314" s="78"/>
    </row>
    <row r="315" spans="3:3" ht="14.25" customHeight="1">
      <c r="C315" s="78"/>
    </row>
    <row r="316" spans="3:3" ht="14.25" customHeight="1">
      <c r="C316" s="78"/>
    </row>
    <row r="317" spans="3:3" ht="14.25" customHeight="1">
      <c r="C317" s="78"/>
    </row>
    <row r="318" spans="3:3" ht="14.25" customHeight="1">
      <c r="C318" s="78"/>
    </row>
    <row r="319" spans="3:3" ht="14.25" customHeight="1">
      <c r="C319" s="78"/>
    </row>
    <row r="320" spans="3:3" ht="14.25" customHeight="1">
      <c r="C320" s="78"/>
    </row>
    <row r="321" spans="3:3" ht="14.25" customHeight="1">
      <c r="C321" s="78"/>
    </row>
    <row r="322" spans="3:3" ht="14.25" customHeight="1">
      <c r="C322" s="78"/>
    </row>
    <row r="323" spans="3:3" ht="14.25" customHeight="1">
      <c r="C323" s="78"/>
    </row>
    <row r="324" spans="3:3" ht="14.25" customHeight="1">
      <c r="C324" s="78"/>
    </row>
    <row r="325" spans="3:3" ht="14.25" customHeight="1">
      <c r="C325" s="78"/>
    </row>
    <row r="326" spans="3:3" ht="14.25" customHeight="1">
      <c r="C326" s="78"/>
    </row>
    <row r="327" spans="3:3" ht="14.25" customHeight="1">
      <c r="C327" s="78"/>
    </row>
    <row r="328" spans="3:3" ht="14.25" customHeight="1">
      <c r="C328" s="78"/>
    </row>
    <row r="329" spans="3:3" ht="14.25" customHeight="1">
      <c r="C329" s="78"/>
    </row>
    <row r="330" spans="3:3" ht="14.25" customHeight="1">
      <c r="C330" s="78"/>
    </row>
    <row r="331" spans="3:3" ht="14.25" customHeight="1">
      <c r="C331" s="78"/>
    </row>
    <row r="332" spans="3:3" ht="14.25" customHeight="1">
      <c r="C332" s="78"/>
    </row>
    <row r="333" spans="3:3" ht="14.25" customHeight="1">
      <c r="C333" s="78"/>
    </row>
    <row r="334" spans="3:3" ht="14.25" customHeight="1">
      <c r="C334" s="78"/>
    </row>
    <row r="335" spans="3:3" ht="14.25" customHeight="1">
      <c r="C335" s="78"/>
    </row>
    <row r="336" spans="3:3" ht="14.25" customHeight="1">
      <c r="C336" s="78"/>
    </row>
    <row r="337" spans="3:3" ht="14.25" customHeight="1">
      <c r="C337" s="78"/>
    </row>
    <row r="338" spans="3:3" ht="14.25" customHeight="1">
      <c r="C338" s="78"/>
    </row>
    <row r="339" spans="3:3" ht="14.25" customHeight="1">
      <c r="C339" s="78"/>
    </row>
    <row r="340" spans="3:3" ht="14.25" customHeight="1">
      <c r="C340" s="78"/>
    </row>
    <row r="341" spans="3:3" ht="14.25" customHeight="1">
      <c r="C341" s="78"/>
    </row>
    <row r="342" spans="3:3" ht="14.25" customHeight="1">
      <c r="C342" s="78"/>
    </row>
    <row r="343" spans="3:3" ht="14.25" customHeight="1">
      <c r="C343" s="78"/>
    </row>
    <row r="344" spans="3:3" ht="14.25" customHeight="1">
      <c r="C344" s="78"/>
    </row>
    <row r="345" spans="3:3" ht="14.25" customHeight="1">
      <c r="C345" s="78"/>
    </row>
    <row r="346" spans="3:3" ht="14.25" customHeight="1">
      <c r="C346" s="78"/>
    </row>
    <row r="347" spans="3:3" ht="14.25" customHeight="1">
      <c r="C347" s="78"/>
    </row>
    <row r="348" spans="3:3" ht="14.25" customHeight="1">
      <c r="C348" s="78"/>
    </row>
    <row r="349" spans="3:3" ht="14.25" customHeight="1">
      <c r="C349" s="78"/>
    </row>
    <row r="350" spans="3:3" ht="14.25" customHeight="1">
      <c r="C350" s="78"/>
    </row>
    <row r="351" spans="3:3" ht="14.25" customHeight="1">
      <c r="C351" s="78"/>
    </row>
    <row r="352" spans="3:3" ht="14.25" customHeight="1">
      <c r="C352" s="78"/>
    </row>
    <row r="353" spans="3:3" ht="14.25" customHeight="1">
      <c r="C353" s="78"/>
    </row>
    <row r="354" spans="3:3" ht="14.25" customHeight="1">
      <c r="C354" s="78"/>
    </row>
    <row r="355" spans="3:3" ht="14.25" customHeight="1">
      <c r="C355" s="78"/>
    </row>
    <row r="356" spans="3:3" ht="14.25" customHeight="1">
      <c r="C356" s="78"/>
    </row>
    <row r="357" spans="3:3" ht="14.25" customHeight="1">
      <c r="C357" s="78"/>
    </row>
    <row r="358" spans="3:3" ht="14.25" customHeight="1">
      <c r="C358" s="78"/>
    </row>
    <row r="359" spans="3:3" ht="14.25" customHeight="1">
      <c r="C359" s="78"/>
    </row>
    <row r="360" spans="3:3" ht="14.25" customHeight="1">
      <c r="C360" s="78"/>
    </row>
    <row r="361" spans="3:3" ht="14.25" customHeight="1">
      <c r="C361" s="78"/>
    </row>
    <row r="362" spans="3:3" ht="14.25" customHeight="1">
      <c r="C362" s="78"/>
    </row>
    <row r="363" spans="3:3" ht="14.25" customHeight="1">
      <c r="C363" s="78"/>
    </row>
    <row r="364" spans="3:3" ht="14.25" customHeight="1">
      <c r="C364" s="78"/>
    </row>
    <row r="365" spans="3:3" ht="14.25" customHeight="1">
      <c r="C365" s="78"/>
    </row>
    <row r="366" spans="3:3" ht="14.25" customHeight="1">
      <c r="C366" s="78"/>
    </row>
    <row r="367" spans="3:3" ht="14.25" customHeight="1">
      <c r="C367" s="78"/>
    </row>
    <row r="368" spans="3:3" ht="14.25" customHeight="1">
      <c r="C368" s="78"/>
    </row>
    <row r="369" spans="3:3" ht="14.25" customHeight="1">
      <c r="C369" s="78"/>
    </row>
    <row r="370" spans="3:3" ht="14.25" customHeight="1">
      <c r="C370" s="78"/>
    </row>
    <row r="371" spans="3:3" ht="14.25" customHeight="1">
      <c r="C371" s="78"/>
    </row>
    <row r="372" spans="3:3" ht="14.25" customHeight="1">
      <c r="C372" s="78"/>
    </row>
    <row r="373" spans="3:3" ht="14.25" customHeight="1">
      <c r="C373" s="78"/>
    </row>
    <row r="374" spans="3:3" ht="14.25" customHeight="1">
      <c r="C374" s="78"/>
    </row>
    <row r="375" spans="3:3" ht="14.25" customHeight="1">
      <c r="C375" s="78"/>
    </row>
    <row r="376" spans="3:3" ht="14.25" customHeight="1">
      <c r="C376" s="78"/>
    </row>
    <row r="377" spans="3:3" ht="14.25" customHeight="1">
      <c r="C377" s="78"/>
    </row>
    <row r="378" spans="3:3" ht="14.25" customHeight="1">
      <c r="C378" s="78"/>
    </row>
    <row r="379" spans="3:3" ht="14.25" customHeight="1">
      <c r="C379" s="78"/>
    </row>
    <row r="380" spans="3:3" ht="14.25" customHeight="1">
      <c r="C380" s="78"/>
    </row>
    <row r="381" spans="3:3" ht="14.25" customHeight="1">
      <c r="C381" s="78"/>
    </row>
    <row r="382" spans="3:3" ht="14.25" customHeight="1">
      <c r="C382" s="78"/>
    </row>
    <row r="383" spans="3:3" ht="14.25" customHeight="1">
      <c r="C383" s="78"/>
    </row>
    <row r="384" spans="3:3" ht="14.25" customHeight="1">
      <c r="C384" s="78"/>
    </row>
    <row r="385" spans="3:3" ht="14.25" customHeight="1">
      <c r="C385" s="78"/>
    </row>
    <row r="386" spans="3:3" ht="14.25" customHeight="1">
      <c r="C386" s="78"/>
    </row>
    <row r="387" spans="3:3" ht="14.25" customHeight="1">
      <c r="C387" s="78"/>
    </row>
    <row r="388" spans="3:3" ht="14.25" customHeight="1">
      <c r="C388" s="78"/>
    </row>
    <row r="389" spans="3:3" ht="14.25" customHeight="1">
      <c r="C389" s="78"/>
    </row>
    <row r="390" spans="3:3" ht="14.25" customHeight="1">
      <c r="C390" s="78"/>
    </row>
    <row r="391" spans="3:3" ht="14.25" customHeight="1">
      <c r="C391" s="78"/>
    </row>
    <row r="392" spans="3:3" ht="14.25" customHeight="1">
      <c r="C392" s="78"/>
    </row>
    <row r="393" spans="3:3" ht="14.25" customHeight="1">
      <c r="C393" s="78"/>
    </row>
    <row r="394" spans="3:3" ht="14.25" customHeight="1">
      <c r="C394" s="78"/>
    </row>
    <row r="395" spans="3:3" ht="14.25" customHeight="1">
      <c r="C395" s="78"/>
    </row>
    <row r="396" spans="3:3" ht="14.25" customHeight="1">
      <c r="C396" s="78"/>
    </row>
    <row r="397" spans="3:3" ht="14.25" customHeight="1">
      <c r="C397" s="78"/>
    </row>
    <row r="398" spans="3:3" ht="14.25" customHeight="1">
      <c r="C398" s="78"/>
    </row>
    <row r="399" spans="3:3" ht="14.25" customHeight="1">
      <c r="C399" s="78"/>
    </row>
    <row r="400" spans="3:3" ht="14.25" customHeight="1">
      <c r="C400" s="78"/>
    </row>
    <row r="401" spans="3:3" ht="14.25" customHeight="1">
      <c r="C401" s="78"/>
    </row>
    <row r="402" spans="3:3" ht="14.25" customHeight="1">
      <c r="C402" s="78"/>
    </row>
    <row r="403" spans="3:3" ht="14.25" customHeight="1">
      <c r="C403" s="78"/>
    </row>
    <row r="404" spans="3:3" ht="14.25" customHeight="1">
      <c r="C404" s="78"/>
    </row>
    <row r="405" spans="3:3" ht="14.25" customHeight="1">
      <c r="C405" s="78"/>
    </row>
    <row r="406" spans="3:3" ht="14.25" customHeight="1">
      <c r="C406" s="78"/>
    </row>
    <row r="407" spans="3:3" ht="14.25" customHeight="1">
      <c r="C407" s="78"/>
    </row>
    <row r="408" spans="3:3" ht="14.25" customHeight="1">
      <c r="C408" s="78"/>
    </row>
    <row r="409" spans="3:3" ht="14.25" customHeight="1">
      <c r="C409" s="78"/>
    </row>
    <row r="410" spans="3:3" ht="14.25" customHeight="1">
      <c r="C410" s="78"/>
    </row>
    <row r="411" spans="3:3" ht="14.25" customHeight="1">
      <c r="C411" s="78"/>
    </row>
    <row r="412" spans="3:3" ht="14.25" customHeight="1">
      <c r="C412" s="78"/>
    </row>
    <row r="413" spans="3:3" ht="14.25" customHeight="1">
      <c r="C413" s="78"/>
    </row>
    <row r="414" spans="3:3" ht="14.25" customHeight="1">
      <c r="C414" s="78"/>
    </row>
    <row r="415" spans="3:3" ht="14.25" customHeight="1">
      <c r="C415" s="78"/>
    </row>
    <row r="416" spans="3:3" ht="14.25" customHeight="1">
      <c r="C416" s="78"/>
    </row>
    <row r="417" spans="3:3" ht="14.25" customHeight="1">
      <c r="C417" s="78"/>
    </row>
    <row r="418" spans="3:3" ht="14.25" customHeight="1">
      <c r="C418" s="78"/>
    </row>
    <row r="419" spans="3:3" ht="14.25" customHeight="1">
      <c r="C419" s="78"/>
    </row>
    <row r="420" spans="3:3" ht="14.25" customHeight="1">
      <c r="C420" s="78"/>
    </row>
    <row r="421" spans="3:3" ht="14.25" customHeight="1">
      <c r="C421" s="78"/>
    </row>
    <row r="422" spans="3:3" ht="14.25" customHeight="1">
      <c r="C422" s="78"/>
    </row>
    <row r="423" spans="3:3" ht="14.25" customHeight="1">
      <c r="C423" s="78"/>
    </row>
    <row r="424" spans="3:3" ht="14.25" customHeight="1">
      <c r="C424" s="78"/>
    </row>
    <row r="425" spans="3:3" ht="14.25" customHeight="1">
      <c r="C425" s="78"/>
    </row>
    <row r="426" spans="3:3" ht="14.25" customHeight="1">
      <c r="C426" s="78"/>
    </row>
    <row r="427" spans="3:3" ht="14.25" customHeight="1">
      <c r="C427" s="78"/>
    </row>
    <row r="428" spans="3:3" ht="14.25" customHeight="1">
      <c r="C428" s="78"/>
    </row>
    <row r="429" spans="3:3" ht="14.25" customHeight="1">
      <c r="C429" s="78"/>
    </row>
    <row r="430" spans="3:3" ht="14.25" customHeight="1">
      <c r="C430" s="78"/>
    </row>
    <row r="431" spans="3:3" ht="14.25" customHeight="1">
      <c r="C431" s="78"/>
    </row>
    <row r="432" spans="3:3" ht="14.25" customHeight="1">
      <c r="C432" s="78"/>
    </row>
    <row r="433" spans="3:3" ht="14.25" customHeight="1">
      <c r="C433" s="78"/>
    </row>
    <row r="434" spans="3:3" ht="14.25" customHeight="1">
      <c r="C434" s="78"/>
    </row>
    <row r="435" spans="3:3" ht="14.25" customHeight="1">
      <c r="C435" s="78"/>
    </row>
    <row r="436" spans="3:3" ht="14.25" customHeight="1">
      <c r="C436" s="78"/>
    </row>
    <row r="437" spans="3:3" ht="14.25" customHeight="1">
      <c r="C437" s="78"/>
    </row>
    <row r="438" spans="3:3" ht="14.25" customHeight="1">
      <c r="C438" s="78"/>
    </row>
    <row r="439" spans="3:3" ht="14.25" customHeight="1">
      <c r="C439" s="78"/>
    </row>
    <row r="440" spans="3:3" ht="14.25" customHeight="1">
      <c r="C440" s="78"/>
    </row>
    <row r="441" spans="3:3" ht="14.25" customHeight="1">
      <c r="C441" s="78"/>
    </row>
    <row r="442" spans="3:3" ht="14.25" customHeight="1">
      <c r="C442" s="78"/>
    </row>
    <row r="443" spans="3:3" ht="14.25" customHeight="1">
      <c r="C443" s="78"/>
    </row>
    <row r="444" spans="3:3" ht="14.25" customHeight="1">
      <c r="C444" s="78"/>
    </row>
    <row r="445" spans="3:3" ht="14.25" customHeight="1">
      <c r="C445" s="78"/>
    </row>
    <row r="446" spans="3:3" ht="14.25" customHeight="1">
      <c r="C446" s="78"/>
    </row>
    <row r="447" spans="3:3" ht="14.25" customHeight="1">
      <c r="C447" s="78"/>
    </row>
    <row r="448" spans="3:3" ht="14.25" customHeight="1">
      <c r="C448" s="78"/>
    </row>
    <row r="449" spans="3:3" ht="14.25" customHeight="1">
      <c r="C449" s="78"/>
    </row>
    <row r="450" spans="3:3" ht="14.25" customHeight="1">
      <c r="C450" s="78"/>
    </row>
    <row r="451" spans="3:3" ht="14.25" customHeight="1">
      <c r="C451" s="78"/>
    </row>
    <row r="452" spans="3:3" ht="14.25" customHeight="1">
      <c r="C452" s="78"/>
    </row>
    <row r="453" spans="3:3" ht="14.25" customHeight="1">
      <c r="C453" s="78"/>
    </row>
    <row r="454" spans="3:3" ht="14.25" customHeight="1">
      <c r="C454" s="78"/>
    </row>
    <row r="455" spans="3:3" ht="14.25" customHeight="1">
      <c r="C455" s="78"/>
    </row>
    <row r="456" spans="3:3" ht="14.25" customHeight="1">
      <c r="C456" s="78"/>
    </row>
    <row r="457" spans="3:3" ht="14.25" customHeight="1">
      <c r="C457" s="78"/>
    </row>
    <row r="458" spans="3:3" ht="14.25" customHeight="1">
      <c r="C458" s="78"/>
    </row>
    <row r="459" spans="3:3" ht="14.25" customHeight="1">
      <c r="C459" s="78"/>
    </row>
    <row r="460" spans="3:3" ht="14.25" customHeight="1">
      <c r="C460" s="78"/>
    </row>
    <row r="461" spans="3:3" ht="14.25" customHeight="1">
      <c r="C461" s="78"/>
    </row>
    <row r="462" spans="3:3" ht="14.25" customHeight="1">
      <c r="C462" s="78"/>
    </row>
    <row r="463" spans="3:3" ht="14.25" customHeight="1">
      <c r="C463" s="78"/>
    </row>
    <row r="464" spans="3:3" ht="14.25" customHeight="1">
      <c r="C464" s="78"/>
    </row>
    <row r="465" spans="3:3" ht="14.25" customHeight="1">
      <c r="C465" s="78"/>
    </row>
    <row r="466" spans="3:3" ht="14.25" customHeight="1">
      <c r="C466" s="78"/>
    </row>
    <row r="467" spans="3:3" ht="14.25" customHeight="1">
      <c r="C467" s="78"/>
    </row>
    <row r="468" spans="3:3" ht="14.25" customHeight="1">
      <c r="C468" s="78"/>
    </row>
    <row r="469" spans="3:3" ht="14.25" customHeight="1">
      <c r="C469" s="78"/>
    </row>
    <row r="470" spans="3:3" ht="14.25" customHeight="1">
      <c r="C470" s="78"/>
    </row>
    <row r="471" spans="3:3" ht="14.25" customHeight="1">
      <c r="C471" s="78"/>
    </row>
    <row r="472" spans="3:3" ht="14.25" customHeight="1">
      <c r="C472" s="78"/>
    </row>
    <row r="473" spans="3:3" ht="14.25" customHeight="1">
      <c r="C473" s="78"/>
    </row>
    <row r="474" spans="3:3" ht="14.25" customHeight="1">
      <c r="C474" s="78"/>
    </row>
    <row r="475" spans="3:3" ht="14.25" customHeight="1">
      <c r="C475" s="78"/>
    </row>
    <row r="476" spans="3:3" ht="14.25" customHeight="1">
      <c r="C476" s="78"/>
    </row>
    <row r="477" spans="3:3" ht="14.25" customHeight="1">
      <c r="C477" s="78"/>
    </row>
    <row r="478" spans="3:3" ht="14.25" customHeight="1">
      <c r="C478" s="78"/>
    </row>
    <row r="479" spans="3:3" ht="14.25" customHeight="1">
      <c r="C479" s="78"/>
    </row>
    <row r="480" spans="3:3" ht="14.25" customHeight="1">
      <c r="C480" s="78"/>
    </row>
    <row r="481" spans="3:3" ht="14.25" customHeight="1">
      <c r="C481" s="78"/>
    </row>
    <row r="482" spans="3:3" ht="14.25" customHeight="1">
      <c r="C482" s="78"/>
    </row>
    <row r="483" spans="3:3" ht="14.25" customHeight="1">
      <c r="C483" s="78"/>
    </row>
    <row r="484" spans="3:3" ht="14.25" customHeight="1">
      <c r="C484" s="78"/>
    </row>
    <row r="485" spans="3:3" ht="14.25" customHeight="1">
      <c r="C485" s="78"/>
    </row>
    <row r="486" spans="3:3" ht="14.25" customHeight="1">
      <c r="C486" s="78"/>
    </row>
    <row r="487" spans="3:3" ht="14.25" customHeight="1">
      <c r="C487" s="78"/>
    </row>
    <row r="488" spans="3:3" ht="14.25" customHeight="1">
      <c r="C488" s="78"/>
    </row>
    <row r="489" spans="3:3" ht="14.25" customHeight="1">
      <c r="C489" s="78"/>
    </row>
    <row r="490" spans="3:3" ht="14.25" customHeight="1">
      <c r="C490" s="78"/>
    </row>
    <row r="491" spans="3:3" ht="14.25" customHeight="1">
      <c r="C491" s="78"/>
    </row>
    <row r="492" spans="3:3" ht="14.25" customHeight="1">
      <c r="C492" s="78"/>
    </row>
    <row r="493" spans="3:3" ht="14.25" customHeight="1">
      <c r="C493" s="78"/>
    </row>
    <row r="494" spans="3:3" ht="14.25" customHeight="1">
      <c r="C494" s="78"/>
    </row>
    <row r="495" spans="3:3" ht="14.25" customHeight="1">
      <c r="C495" s="78"/>
    </row>
    <row r="496" spans="3:3" ht="14.25" customHeight="1">
      <c r="C496" s="78"/>
    </row>
    <row r="497" spans="3:3" ht="14.25" customHeight="1">
      <c r="C497" s="78"/>
    </row>
    <row r="498" spans="3:3" ht="14.25" customHeight="1">
      <c r="C498" s="78"/>
    </row>
    <row r="499" spans="3:3" ht="14.25" customHeight="1">
      <c r="C499" s="78"/>
    </row>
    <row r="500" spans="3:3" ht="14.25" customHeight="1">
      <c r="C500" s="78"/>
    </row>
    <row r="501" spans="3:3" ht="14.25" customHeight="1">
      <c r="C501" s="78"/>
    </row>
    <row r="502" spans="3:3" ht="14.25" customHeight="1">
      <c r="C502" s="78"/>
    </row>
    <row r="503" spans="3:3" ht="14.25" customHeight="1">
      <c r="C503" s="78"/>
    </row>
    <row r="504" spans="3:3" ht="14.25" customHeight="1">
      <c r="C504" s="78"/>
    </row>
    <row r="505" spans="3:3" ht="14.25" customHeight="1">
      <c r="C505" s="78"/>
    </row>
    <row r="506" spans="3:3" ht="14.25" customHeight="1">
      <c r="C506" s="78"/>
    </row>
    <row r="507" spans="3:3" ht="14.25" customHeight="1">
      <c r="C507" s="78"/>
    </row>
    <row r="508" spans="3:3" ht="14.25" customHeight="1">
      <c r="C508" s="78"/>
    </row>
    <row r="509" spans="3:3" ht="14.25" customHeight="1">
      <c r="C509" s="78"/>
    </row>
    <row r="510" spans="3:3" ht="14.25" customHeight="1">
      <c r="C510" s="78"/>
    </row>
    <row r="511" spans="3:3" ht="14.25" customHeight="1">
      <c r="C511" s="78"/>
    </row>
    <row r="512" spans="3:3" ht="14.25" customHeight="1">
      <c r="C512" s="78"/>
    </row>
    <row r="513" spans="3:3" ht="14.25" customHeight="1">
      <c r="C513" s="78"/>
    </row>
    <row r="514" spans="3:3" ht="14.25" customHeight="1">
      <c r="C514" s="78"/>
    </row>
    <row r="515" spans="3:3" ht="14.25" customHeight="1">
      <c r="C515" s="78"/>
    </row>
    <row r="516" spans="3:3" ht="14.25" customHeight="1">
      <c r="C516" s="78"/>
    </row>
    <row r="517" spans="3:3" ht="14.25" customHeight="1">
      <c r="C517" s="78"/>
    </row>
    <row r="518" spans="3:3" ht="14.25" customHeight="1">
      <c r="C518" s="78"/>
    </row>
    <row r="519" spans="3:3" ht="14.25" customHeight="1">
      <c r="C519" s="78"/>
    </row>
    <row r="520" spans="3:3" ht="14.25" customHeight="1">
      <c r="C520" s="78"/>
    </row>
    <row r="521" spans="3:3" ht="14.25" customHeight="1">
      <c r="C521" s="78"/>
    </row>
    <row r="522" spans="3:3" ht="14.25" customHeight="1">
      <c r="C522" s="78"/>
    </row>
    <row r="523" spans="3:3" ht="14.25" customHeight="1">
      <c r="C523" s="78"/>
    </row>
    <row r="524" spans="3:3" ht="14.25" customHeight="1">
      <c r="C524" s="78"/>
    </row>
    <row r="525" spans="3:3" ht="14.25" customHeight="1">
      <c r="C525" s="78"/>
    </row>
    <row r="526" spans="3:3" ht="14.25" customHeight="1">
      <c r="C526" s="78"/>
    </row>
    <row r="527" spans="3:3" ht="14.25" customHeight="1">
      <c r="C527" s="78"/>
    </row>
    <row r="528" spans="3:3" ht="14.25" customHeight="1">
      <c r="C528" s="78"/>
    </row>
    <row r="529" spans="3:3" ht="14.25" customHeight="1">
      <c r="C529" s="78"/>
    </row>
    <row r="530" spans="3:3" ht="14.25" customHeight="1">
      <c r="C530" s="78"/>
    </row>
    <row r="531" spans="3:3" ht="14.25" customHeight="1">
      <c r="C531" s="78"/>
    </row>
    <row r="532" spans="3:3" ht="14.25" customHeight="1">
      <c r="C532" s="78"/>
    </row>
    <row r="533" spans="3:3" ht="14.25" customHeight="1">
      <c r="C533" s="78"/>
    </row>
    <row r="534" spans="3:3" ht="14.25" customHeight="1">
      <c r="C534" s="78"/>
    </row>
    <row r="535" spans="3:3" ht="14.25" customHeight="1">
      <c r="C535" s="78"/>
    </row>
    <row r="536" spans="3:3" ht="14.25" customHeight="1">
      <c r="C536" s="78"/>
    </row>
    <row r="537" spans="3:3" ht="14.25" customHeight="1">
      <c r="C537" s="78"/>
    </row>
    <row r="538" spans="3:3" ht="14.25" customHeight="1">
      <c r="C538" s="78"/>
    </row>
    <row r="539" spans="3:3" ht="14.25" customHeight="1">
      <c r="C539" s="78"/>
    </row>
    <row r="540" spans="3:3" ht="14.25" customHeight="1">
      <c r="C540" s="78"/>
    </row>
    <row r="541" spans="3:3" ht="14.25" customHeight="1">
      <c r="C541" s="78"/>
    </row>
    <row r="542" spans="3:3" ht="14.25" customHeight="1">
      <c r="C542" s="78"/>
    </row>
    <row r="543" spans="3:3" ht="14.25" customHeight="1">
      <c r="C543" s="78"/>
    </row>
    <row r="544" spans="3:3" ht="14.25" customHeight="1">
      <c r="C544" s="78"/>
    </row>
    <row r="545" spans="3:3" ht="14.25" customHeight="1">
      <c r="C545" s="78"/>
    </row>
    <row r="546" spans="3:3" ht="14.25" customHeight="1">
      <c r="C546" s="78"/>
    </row>
    <row r="547" spans="3:3" ht="14.25" customHeight="1">
      <c r="C547" s="78"/>
    </row>
    <row r="548" spans="3:3" ht="14.25" customHeight="1">
      <c r="C548" s="78"/>
    </row>
    <row r="549" spans="3:3" ht="14.25" customHeight="1">
      <c r="C549" s="78"/>
    </row>
    <row r="550" spans="3:3" ht="14.25" customHeight="1">
      <c r="C550" s="78"/>
    </row>
    <row r="551" spans="3:3" ht="14.25" customHeight="1">
      <c r="C551" s="78"/>
    </row>
    <row r="552" spans="3:3" ht="14.25" customHeight="1">
      <c r="C552" s="78"/>
    </row>
    <row r="553" spans="3:3" ht="14.25" customHeight="1">
      <c r="C553" s="78"/>
    </row>
    <row r="554" spans="3:3" ht="14.25" customHeight="1">
      <c r="C554" s="78"/>
    </row>
    <row r="555" spans="3:3" ht="14.25" customHeight="1">
      <c r="C555" s="78"/>
    </row>
    <row r="556" spans="3:3" ht="14.25" customHeight="1">
      <c r="C556" s="78"/>
    </row>
    <row r="557" spans="3:3" ht="14.25" customHeight="1">
      <c r="C557" s="78"/>
    </row>
    <row r="558" spans="3:3" ht="14.25" customHeight="1">
      <c r="C558" s="78"/>
    </row>
    <row r="559" spans="3:3" ht="14.25" customHeight="1">
      <c r="C559" s="78"/>
    </row>
    <row r="560" spans="3:3" ht="14.25" customHeight="1">
      <c r="C560" s="78"/>
    </row>
    <row r="561" spans="3:3" ht="14.25" customHeight="1">
      <c r="C561" s="78"/>
    </row>
    <row r="562" spans="3:3" ht="14.25" customHeight="1">
      <c r="C562" s="78"/>
    </row>
    <row r="563" spans="3:3" ht="14.25" customHeight="1">
      <c r="C563" s="78"/>
    </row>
    <row r="564" spans="3:3" ht="14.25" customHeight="1">
      <c r="C564" s="78"/>
    </row>
    <row r="565" spans="3:3" ht="14.25" customHeight="1">
      <c r="C565" s="78"/>
    </row>
    <row r="566" spans="3:3" ht="14.25" customHeight="1">
      <c r="C566" s="78"/>
    </row>
    <row r="567" spans="3:3" ht="14.25" customHeight="1">
      <c r="C567" s="78"/>
    </row>
    <row r="568" spans="3:3" ht="14.25" customHeight="1">
      <c r="C568" s="78"/>
    </row>
    <row r="569" spans="3:3" ht="14.25" customHeight="1">
      <c r="C569" s="78"/>
    </row>
    <row r="570" spans="3:3" ht="14.25" customHeight="1">
      <c r="C570" s="78"/>
    </row>
    <row r="571" spans="3:3" ht="14.25" customHeight="1">
      <c r="C571" s="78"/>
    </row>
    <row r="572" spans="3:3" ht="14.25" customHeight="1">
      <c r="C572" s="78"/>
    </row>
    <row r="573" spans="3:3" ht="14.25" customHeight="1">
      <c r="C573" s="78"/>
    </row>
    <row r="574" spans="3:3" ht="14.25" customHeight="1">
      <c r="C574" s="78"/>
    </row>
    <row r="575" spans="3:3" ht="14.25" customHeight="1">
      <c r="C575" s="78"/>
    </row>
    <row r="576" spans="3:3" ht="14.25" customHeight="1">
      <c r="C576" s="78"/>
    </row>
    <row r="577" spans="3:3" ht="14.25" customHeight="1">
      <c r="C577" s="78"/>
    </row>
    <row r="578" spans="3:3" ht="14.25" customHeight="1">
      <c r="C578" s="78"/>
    </row>
    <row r="579" spans="3:3" ht="14.25" customHeight="1">
      <c r="C579" s="78"/>
    </row>
    <row r="580" spans="3:3" ht="14.25" customHeight="1">
      <c r="C580" s="78"/>
    </row>
    <row r="581" spans="3:3" ht="14.25" customHeight="1">
      <c r="C581" s="78"/>
    </row>
    <row r="582" spans="3:3" ht="14.25" customHeight="1">
      <c r="C582" s="78"/>
    </row>
    <row r="583" spans="3:3" ht="14.25" customHeight="1">
      <c r="C583" s="78"/>
    </row>
    <row r="584" spans="3:3" ht="14.25" customHeight="1">
      <c r="C584" s="78"/>
    </row>
    <row r="585" spans="3:3" ht="14.25" customHeight="1">
      <c r="C585" s="78"/>
    </row>
    <row r="586" spans="3:3" ht="14.25" customHeight="1">
      <c r="C586" s="78"/>
    </row>
    <row r="587" spans="3:3" ht="14.25" customHeight="1">
      <c r="C587" s="78"/>
    </row>
    <row r="588" spans="3:3" ht="14.25" customHeight="1">
      <c r="C588" s="78"/>
    </row>
    <row r="589" spans="3:3" ht="14.25" customHeight="1">
      <c r="C589" s="78"/>
    </row>
    <row r="590" spans="3:3" ht="14.25" customHeight="1">
      <c r="C590" s="78"/>
    </row>
    <row r="591" spans="3:3" ht="14.25" customHeight="1">
      <c r="C591" s="78"/>
    </row>
    <row r="592" spans="3:3" ht="14.25" customHeight="1">
      <c r="C592" s="78"/>
    </row>
    <row r="593" spans="3:3" ht="14.25" customHeight="1">
      <c r="C593" s="78"/>
    </row>
    <row r="594" spans="3:3" ht="14.25" customHeight="1">
      <c r="C594" s="78"/>
    </row>
    <row r="595" spans="3:3" ht="14.25" customHeight="1">
      <c r="C595" s="78"/>
    </row>
    <row r="596" spans="3:3" ht="14.25" customHeight="1">
      <c r="C596" s="78"/>
    </row>
    <row r="597" spans="3:3" ht="14.25" customHeight="1">
      <c r="C597" s="78"/>
    </row>
    <row r="598" spans="3:3" ht="14.25" customHeight="1">
      <c r="C598" s="78"/>
    </row>
    <row r="599" spans="3:3" ht="14.25" customHeight="1">
      <c r="C599" s="78"/>
    </row>
    <row r="600" spans="3:3" ht="14.25" customHeight="1">
      <c r="C600" s="78"/>
    </row>
    <row r="601" spans="3:3" ht="14.25" customHeight="1">
      <c r="C601" s="78"/>
    </row>
    <row r="602" spans="3:3" ht="14.25" customHeight="1">
      <c r="C602" s="78"/>
    </row>
    <row r="603" spans="3:3" ht="14.25" customHeight="1">
      <c r="C603" s="78"/>
    </row>
    <row r="604" spans="3:3" ht="14.25" customHeight="1">
      <c r="C604" s="78"/>
    </row>
    <row r="605" spans="3:3" ht="14.25" customHeight="1">
      <c r="C605" s="78"/>
    </row>
    <row r="606" spans="3:3" ht="14.25" customHeight="1">
      <c r="C606" s="78"/>
    </row>
    <row r="607" spans="3:3" ht="14.25" customHeight="1">
      <c r="C607" s="78"/>
    </row>
    <row r="608" spans="3:3" ht="14.25" customHeight="1">
      <c r="C608" s="78"/>
    </row>
    <row r="609" spans="3:3" ht="14.25" customHeight="1">
      <c r="C609" s="78"/>
    </row>
    <row r="610" spans="3:3" ht="14.25" customHeight="1">
      <c r="C610" s="78"/>
    </row>
    <row r="611" spans="3:3" ht="14.25" customHeight="1">
      <c r="C611" s="78"/>
    </row>
    <row r="612" spans="3:3" ht="14.25" customHeight="1">
      <c r="C612" s="78"/>
    </row>
    <row r="613" spans="3:3" ht="14.25" customHeight="1">
      <c r="C613" s="78"/>
    </row>
    <row r="614" spans="3:3" ht="14.25" customHeight="1">
      <c r="C614" s="78"/>
    </row>
    <row r="615" spans="3:3" ht="14.25" customHeight="1">
      <c r="C615" s="78"/>
    </row>
    <row r="616" spans="3:3" ht="14.25" customHeight="1">
      <c r="C616" s="78"/>
    </row>
    <row r="617" spans="3:3" ht="14.25" customHeight="1">
      <c r="C617" s="78"/>
    </row>
    <row r="618" spans="3:3" ht="14.25" customHeight="1">
      <c r="C618" s="78"/>
    </row>
    <row r="619" spans="3:3" ht="14.25" customHeight="1">
      <c r="C619" s="78"/>
    </row>
    <row r="620" spans="3:3" ht="14.25" customHeight="1">
      <c r="C620" s="78"/>
    </row>
    <row r="621" spans="3:3" ht="14.25" customHeight="1">
      <c r="C621" s="78"/>
    </row>
    <row r="622" spans="3:3" ht="14.25" customHeight="1">
      <c r="C622" s="78"/>
    </row>
    <row r="623" spans="3:3" ht="14.25" customHeight="1">
      <c r="C623" s="78"/>
    </row>
    <row r="624" spans="3:3" ht="14.25" customHeight="1">
      <c r="C624" s="78"/>
    </row>
    <row r="625" spans="3:3" ht="14.25" customHeight="1">
      <c r="C625" s="78"/>
    </row>
    <row r="626" spans="3:3" ht="14.25" customHeight="1">
      <c r="C626" s="78"/>
    </row>
    <row r="627" spans="3:3" ht="14.25" customHeight="1">
      <c r="C627" s="78"/>
    </row>
    <row r="628" spans="3:3" ht="14.25" customHeight="1">
      <c r="C628" s="78"/>
    </row>
    <row r="629" spans="3:3" ht="14.25" customHeight="1">
      <c r="C629" s="78"/>
    </row>
    <row r="630" spans="3:3" ht="14.25" customHeight="1">
      <c r="C630" s="78"/>
    </row>
    <row r="631" spans="3:3" ht="14.25" customHeight="1">
      <c r="C631" s="78"/>
    </row>
    <row r="632" spans="3:3" ht="14.25" customHeight="1">
      <c r="C632" s="78"/>
    </row>
    <row r="633" spans="3:3" ht="14.25" customHeight="1">
      <c r="C633" s="78"/>
    </row>
    <row r="634" spans="3:3" ht="14.25" customHeight="1">
      <c r="C634" s="78"/>
    </row>
    <row r="635" spans="3:3" ht="14.25" customHeight="1">
      <c r="C635" s="78"/>
    </row>
    <row r="636" spans="3:3" ht="14.25" customHeight="1">
      <c r="C636" s="78"/>
    </row>
    <row r="637" spans="3:3" ht="14.25" customHeight="1">
      <c r="C637" s="78"/>
    </row>
    <row r="638" spans="3:3" ht="14.25" customHeight="1">
      <c r="C638" s="78"/>
    </row>
    <row r="639" spans="3:3" ht="14.25" customHeight="1">
      <c r="C639" s="78"/>
    </row>
    <row r="640" spans="3:3" ht="14.25" customHeight="1">
      <c r="C640" s="78"/>
    </row>
    <row r="641" spans="3:3" ht="14.25" customHeight="1">
      <c r="C641" s="78"/>
    </row>
    <row r="642" spans="3:3" ht="14.25" customHeight="1">
      <c r="C642" s="78"/>
    </row>
    <row r="643" spans="3:3" ht="14.25" customHeight="1">
      <c r="C643" s="78"/>
    </row>
    <row r="644" spans="3:3" ht="14.25" customHeight="1">
      <c r="C644" s="78"/>
    </row>
    <row r="645" spans="3:3" ht="14.25" customHeight="1">
      <c r="C645" s="78"/>
    </row>
    <row r="646" spans="3:3" ht="14.25" customHeight="1">
      <c r="C646" s="78"/>
    </row>
    <row r="647" spans="3:3" ht="14.25" customHeight="1">
      <c r="C647" s="78"/>
    </row>
    <row r="648" spans="3:3" ht="14.25" customHeight="1">
      <c r="C648" s="78"/>
    </row>
    <row r="649" spans="3:3" ht="14.25" customHeight="1">
      <c r="C649" s="78"/>
    </row>
    <row r="650" spans="3:3" ht="14.25" customHeight="1">
      <c r="C650" s="78"/>
    </row>
    <row r="651" spans="3:3" ht="14.25" customHeight="1">
      <c r="C651" s="78"/>
    </row>
    <row r="652" spans="3:3" ht="14.25" customHeight="1">
      <c r="C652" s="78"/>
    </row>
    <row r="653" spans="3:3" ht="14.25" customHeight="1">
      <c r="C653" s="78"/>
    </row>
    <row r="654" spans="3:3" ht="14.25" customHeight="1">
      <c r="C654" s="78"/>
    </row>
    <row r="655" spans="3:3" ht="14.25" customHeight="1">
      <c r="C655" s="78"/>
    </row>
    <row r="656" spans="3:3" ht="14.25" customHeight="1">
      <c r="C656" s="78"/>
    </row>
    <row r="657" spans="3:3" ht="14.25" customHeight="1">
      <c r="C657" s="78"/>
    </row>
    <row r="658" spans="3:3" ht="14.25" customHeight="1">
      <c r="C658" s="78"/>
    </row>
    <row r="659" spans="3:3" ht="14.25" customHeight="1">
      <c r="C659" s="78"/>
    </row>
    <row r="660" spans="3:3" ht="14.25" customHeight="1">
      <c r="C660" s="78"/>
    </row>
    <row r="661" spans="3:3" ht="14.25" customHeight="1">
      <c r="C661" s="78"/>
    </row>
    <row r="662" spans="3:3" ht="14.25" customHeight="1">
      <c r="C662" s="78"/>
    </row>
    <row r="663" spans="3:3" ht="14.25" customHeight="1">
      <c r="C663" s="78"/>
    </row>
    <row r="664" spans="3:3" ht="14.25" customHeight="1">
      <c r="C664" s="78"/>
    </row>
    <row r="665" spans="3:3" ht="14.25" customHeight="1">
      <c r="C665" s="78"/>
    </row>
    <row r="666" spans="3:3" ht="14.25" customHeight="1">
      <c r="C666" s="78"/>
    </row>
    <row r="667" spans="3:3" ht="14.25" customHeight="1">
      <c r="C667" s="78"/>
    </row>
    <row r="668" spans="3:3" ht="14.25" customHeight="1">
      <c r="C668" s="78"/>
    </row>
    <row r="669" spans="3:3" ht="14.25" customHeight="1">
      <c r="C669" s="78"/>
    </row>
    <row r="670" spans="3:3" ht="14.25" customHeight="1">
      <c r="C670" s="78"/>
    </row>
    <row r="671" spans="3:3" ht="14.25" customHeight="1">
      <c r="C671" s="78"/>
    </row>
    <row r="672" spans="3:3" ht="14.25" customHeight="1">
      <c r="C672" s="78"/>
    </row>
    <row r="673" spans="3:3" ht="14.25" customHeight="1">
      <c r="C673" s="78"/>
    </row>
    <row r="674" spans="3:3" ht="14.25" customHeight="1">
      <c r="C674" s="78"/>
    </row>
    <row r="675" spans="3:3" ht="14.25" customHeight="1">
      <c r="C675" s="78"/>
    </row>
    <row r="676" spans="3:3" ht="14.25" customHeight="1">
      <c r="C676" s="78"/>
    </row>
    <row r="677" spans="3:3" ht="14.25" customHeight="1">
      <c r="C677" s="78"/>
    </row>
    <row r="678" spans="3:3" ht="14.25" customHeight="1">
      <c r="C678" s="78"/>
    </row>
    <row r="679" spans="3:3" ht="14.25" customHeight="1">
      <c r="C679" s="78"/>
    </row>
    <row r="680" spans="3:3" ht="14.25" customHeight="1">
      <c r="C680" s="78"/>
    </row>
    <row r="681" spans="3:3" ht="14.25" customHeight="1">
      <c r="C681" s="78"/>
    </row>
    <row r="682" spans="3:3" ht="14.25" customHeight="1">
      <c r="C682" s="78"/>
    </row>
    <row r="683" spans="3:3" ht="14.25" customHeight="1">
      <c r="C683" s="78"/>
    </row>
    <row r="684" spans="3:3" ht="14.25" customHeight="1">
      <c r="C684" s="78"/>
    </row>
    <row r="685" spans="3:3" ht="14.25" customHeight="1">
      <c r="C685" s="78"/>
    </row>
    <row r="686" spans="3:3" ht="14.25" customHeight="1">
      <c r="C686" s="78"/>
    </row>
    <row r="687" spans="3:3" ht="14.25" customHeight="1">
      <c r="C687" s="78"/>
    </row>
    <row r="688" spans="3:3" ht="14.25" customHeight="1">
      <c r="C688" s="78"/>
    </row>
    <row r="689" spans="3:3" ht="14.25" customHeight="1">
      <c r="C689" s="78"/>
    </row>
    <row r="690" spans="3:3" ht="14.25" customHeight="1">
      <c r="C690" s="78"/>
    </row>
    <row r="691" spans="3:3" ht="14.25" customHeight="1">
      <c r="C691" s="78"/>
    </row>
    <row r="692" spans="3:3" ht="14.25" customHeight="1">
      <c r="C692" s="78"/>
    </row>
    <row r="693" spans="3:3" ht="14.25" customHeight="1">
      <c r="C693" s="78"/>
    </row>
    <row r="694" spans="3:3" ht="14.25" customHeight="1">
      <c r="C694" s="78"/>
    </row>
    <row r="695" spans="3:3" ht="14.25" customHeight="1">
      <c r="C695" s="78"/>
    </row>
    <row r="696" spans="3:3" ht="14.25" customHeight="1">
      <c r="C696" s="78"/>
    </row>
    <row r="697" spans="3:3" ht="14.25" customHeight="1">
      <c r="C697" s="78"/>
    </row>
    <row r="698" spans="3:3" ht="14.25" customHeight="1">
      <c r="C698" s="78"/>
    </row>
    <row r="699" spans="3:3" ht="14.25" customHeight="1">
      <c r="C699" s="78"/>
    </row>
    <row r="700" spans="3:3" ht="14.25" customHeight="1">
      <c r="C700" s="78"/>
    </row>
    <row r="701" spans="3:3" ht="14.25" customHeight="1">
      <c r="C701" s="78"/>
    </row>
    <row r="702" spans="3:3" ht="14.25" customHeight="1">
      <c r="C702" s="78"/>
    </row>
    <row r="703" spans="3:3" ht="14.25" customHeight="1">
      <c r="C703" s="78"/>
    </row>
    <row r="704" spans="3:3" ht="14.25" customHeight="1">
      <c r="C704" s="78"/>
    </row>
    <row r="705" spans="3:3" ht="14.25" customHeight="1">
      <c r="C705" s="78"/>
    </row>
    <row r="706" spans="3:3" ht="14.25" customHeight="1">
      <c r="C706" s="78"/>
    </row>
    <row r="707" spans="3:3" ht="14.25" customHeight="1">
      <c r="C707" s="78"/>
    </row>
    <row r="708" spans="3:3" ht="14.25" customHeight="1">
      <c r="C708" s="78"/>
    </row>
    <row r="709" spans="3:3" ht="14.25" customHeight="1">
      <c r="C709" s="78"/>
    </row>
    <row r="710" spans="3:3" ht="14.25" customHeight="1">
      <c r="C710" s="78"/>
    </row>
    <row r="711" spans="3:3" ht="14.25" customHeight="1">
      <c r="C711" s="78"/>
    </row>
    <row r="712" spans="3:3" ht="14.25" customHeight="1">
      <c r="C712" s="78"/>
    </row>
    <row r="713" spans="3:3" ht="14.25" customHeight="1">
      <c r="C713" s="78"/>
    </row>
    <row r="714" spans="3:3" ht="14.25" customHeight="1">
      <c r="C714" s="78"/>
    </row>
    <row r="715" spans="3:3" ht="14.25" customHeight="1">
      <c r="C715" s="78"/>
    </row>
    <row r="716" spans="3:3" ht="14.25" customHeight="1">
      <c r="C716" s="78"/>
    </row>
    <row r="717" spans="3:3" ht="14.25" customHeight="1">
      <c r="C717" s="78"/>
    </row>
    <row r="718" spans="3:3" ht="14.25" customHeight="1">
      <c r="C718" s="78"/>
    </row>
    <row r="719" spans="3:3" ht="14.25" customHeight="1">
      <c r="C719" s="78"/>
    </row>
    <row r="720" spans="3:3" ht="14.25" customHeight="1">
      <c r="C720" s="78"/>
    </row>
    <row r="721" spans="3:3" ht="14.25" customHeight="1">
      <c r="C721" s="78"/>
    </row>
    <row r="722" spans="3:3" ht="14.25" customHeight="1">
      <c r="C722" s="78"/>
    </row>
    <row r="723" spans="3:3" ht="14.25" customHeight="1">
      <c r="C723" s="78"/>
    </row>
    <row r="724" spans="3:3" ht="14.25" customHeight="1">
      <c r="C724" s="78"/>
    </row>
    <row r="725" spans="3:3" ht="14.25" customHeight="1">
      <c r="C725" s="78"/>
    </row>
    <row r="726" spans="3:3" ht="14.25" customHeight="1">
      <c r="C726" s="78"/>
    </row>
    <row r="727" spans="3:3" ht="14.25" customHeight="1">
      <c r="C727" s="78"/>
    </row>
    <row r="728" spans="3:3" ht="14.25" customHeight="1">
      <c r="C728" s="78"/>
    </row>
    <row r="729" spans="3:3" ht="14.25" customHeight="1">
      <c r="C729" s="78"/>
    </row>
    <row r="730" spans="3:3" ht="14.25" customHeight="1">
      <c r="C730" s="78"/>
    </row>
    <row r="731" spans="3:3" ht="14.25" customHeight="1">
      <c r="C731" s="78"/>
    </row>
    <row r="732" spans="3:3" ht="14.25" customHeight="1">
      <c r="C732" s="78"/>
    </row>
    <row r="733" spans="3:3" ht="14.25" customHeight="1">
      <c r="C733" s="78"/>
    </row>
    <row r="734" spans="3:3" ht="14.25" customHeight="1">
      <c r="C734" s="78"/>
    </row>
    <row r="735" spans="3:3" ht="14.25" customHeight="1">
      <c r="C735" s="78"/>
    </row>
    <row r="736" spans="3:3" ht="14.25" customHeight="1">
      <c r="C736" s="78"/>
    </row>
    <row r="737" spans="3:3" ht="14.25" customHeight="1">
      <c r="C737" s="78"/>
    </row>
    <row r="738" spans="3:3" ht="14.25" customHeight="1">
      <c r="C738" s="78"/>
    </row>
    <row r="739" spans="3:3" ht="14.25" customHeight="1">
      <c r="C739" s="78"/>
    </row>
    <row r="740" spans="3:3" ht="14.25" customHeight="1">
      <c r="C740" s="78"/>
    </row>
    <row r="741" spans="3:3" ht="14.25" customHeight="1">
      <c r="C741" s="78"/>
    </row>
    <row r="742" spans="3:3" ht="14.25" customHeight="1">
      <c r="C742" s="78"/>
    </row>
    <row r="743" spans="3:3" ht="14.25" customHeight="1">
      <c r="C743" s="78"/>
    </row>
    <row r="744" spans="3:3" ht="14.25" customHeight="1">
      <c r="C744" s="78"/>
    </row>
    <row r="745" spans="3:3" ht="14.25" customHeight="1">
      <c r="C745" s="78"/>
    </row>
    <row r="746" spans="3:3" ht="14.25" customHeight="1">
      <c r="C746" s="78"/>
    </row>
    <row r="747" spans="3:3" ht="14.25" customHeight="1">
      <c r="C747" s="78"/>
    </row>
    <row r="748" spans="3:3" ht="14.25" customHeight="1">
      <c r="C748" s="78"/>
    </row>
    <row r="749" spans="3:3" ht="14.25" customHeight="1">
      <c r="C749" s="78"/>
    </row>
    <row r="750" spans="3:3" ht="14.25" customHeight="1">
      <c r="C750" s="78"/>
    </row>
    <row r="751" spans="3:3" ht="14.25" customHeight="1">
      <c r="C751" s="78"/>
    </row>
    <row r="752" spans="3:3" ht="14.25" customHeight="1">
      <c r="C752" s="78"/>
    </row>
    <row r="753" spans="3:3" ht="14.25" customHeight="1">
      <c r="C753" s="78"/>
    </row>
    <row r="754" spans="3:3" ht="14.25" customHeight="1">
      <c r="C754" s="78"/>
    </row>
    <row r="755" spans="3:3" ht="14.25" customHeight="1">
      <c r="C755" s="78"/>
    </row>
    <row r="756" spans="3:3" ht="14.25" customHeight="1">
      <c r="C756" s="78"/>
    </row>
    <row r="757" spans="3:3" ht="14.25" customHeight="1">
      <c r="C757" s="78"/>
    </row>
    <row r="758" spans="3:3" ht="14.25" customHeight="1">
      <c r="C758" s="78"/>
    </row>
    <row r="759" spans="3:3" ht="14.25" customHeight="1">
      <c r="C759" s="78"/>
    </row>
    <row r="760" spans="3:3" ht="14.25" customHeight="1">
      <c r="C760" s="78"/>
    </row>
    <row r="761" spans="3:3" ht="14.25" customHeight="1">
      <c r="C761" s="78"/>
    </row>
    <row r="762" spans="3:3" ht="14.25" customHeight="1">
      <c r="C762" s="78"/>
    </row>
    <row r="763" spans="3:3" ht="14.25" customHeight="1">
      <c r="C763" s="78"/>
    </row>
    <row r="764" spans="3:3" ht="14.25" customHeight="1">
      <c r="C764" s="78"/>
    </row>
    <row r="765" spans="3:3" ht="14.25" customHeight="1">
      <c r="C765" s="78"/>
    </row>
    <row r="766" spans="3:3" ht="14.25" customHeight="1">
      <c r="C766" s="78"/>
    </row>
    <row r="767" spans="3:3" ht="14.25" customHeight="1">
      <c r="C767" s="78"/>
    </row>
    <row r="768" spans="3:3" ht="14.25" customHeight="1">
      <c r="C768" s="78"/>
    </row>
    <row r="769" spans="3:3" ht="14.25" customHeight="1">
      <c r="C769" s="78"/>
    </row>
    <row r="770" spans="3:3" ht="14.25" customHeight="1">
      <c r="C770" s="78"/>
    </row>
    <row r="771" spans="3:3" ht="14.25" customHeight="1">
      <c r="C771" s="78"/>
    </row>
    <row r="772" spans="3:3" ht="14.25" customHeight="1">
      <c r="C772" s="78"/>
    </row>
    <row r="773" spans="3:3" ht="14.25" customHeight="1">
      <c r="C773" s="78"/>
    </row>
    <row r="774" spans="3:3" ht="14.25" customHeight="1">
      <c r="C774" s="78"/>
    </row>
    <row r="775" spans="3:3" ht="14.25" customHeight="1">
      <c r="C775" s="78"/>
    </row>
    <row r="776" spans="3:3" ht="14.25" customHeight="1">
      <c r="C776" s="78"/>
    </row>
    <row r="777" spans="3:3" ht="14.25" customHeight="1">
      <c r="C777" s="78"/>
    </row>
    <row r="778" spans="3:3" ht="14.25" customHeight="1">
      <c r="C778" s="78"/>
    </row>
    <row r="779" spans="3:3" ht="14.25" customHeight="1">
      <c r="C779" s="78"/>
    </row>
    <row r="780" spans="3:3" ht="14.25" customHeight="1">
      <c r="C780" s="78"/>
    </row>
    <row r="781" spans="3:3" ht="14.25" customHeight="1">
      <c r="C781" s="78"/>
    </row>
    <row r="782" spans="3:3" ht="14.25" customHeight="1">
      <c r="C782" s="78"/>
    </row>
    <row r="783" spans="3:3" ht="14.25" customHeight="1">
      <c r="C783" s="78"/>
    </row>
    <row r="784" spans="3:3" ht="14.25" customHeight="1">
      <c r="C784" s="78"/>
    </row>
    <row r="785" spans="3:3" ht="14.25" customHeight="1">
      <c r="C785" s="78"/>
    </row>
    <row r="786" spans="3:3" ht="14.25" customHeight="1">
      <c r="C786" s="78"/>
    </row>
    <row r="787" spans="3:3" ht="14.25" customHeight="1">
      <c r="C787" s="78"/>
    </row>
    <row r="788" spans="3:3" ht="14.25" customHeight="1">
      <c r="C788" s="78"/>
    </row>
    <row r="789" spans="3:3" ht="14.25" customHeight="1">
      <c r="C789" s="78"/>
    </row>
    <row r="790" spans="3:3" ht="14.25" customHeight="1">
      <c r="C790" s="78"/>
    </row>
    <row r="791" spans="3:3" ht="14.25" customHeight="1">
      <c r="C791" s="78"/>
    </row>
    <row r="792" spans="3:3" ht="14.25" customHeight="1">
      <c r="C792" s="78"/>
    </row>
    <row r="793" spans="3:3" ht="14.25" customHeight="1">
      <c r="C793" s="78"/>
    </row>
    <row r="794" spans="3:3" ht="14.25" customHeight="1">
      <c r="C794" s="78"/>
    </row>
    <row r="795" spans="3:3" ht="14.25" customHeight="1">
      <c r="C795" s="78"/>
    </row>
    <row r="796" spans="3:3" ht="14.25" customHeight="1">
      <c r="C796" s="78"/>
    </row>
    <row r="797" spans="3:3" ht="14.25" customHeight="1">
      <c r="C797" s="78"/>
    </row>
    <row r="798" spans="3:3" ht="14.25" customHeight="1">
      <c r="C798" s="78"/>
    </row>
    <row r="799" spans="3:3" ht="14.25" customHeight="1">
      <c r="C799" s="78"/>
    </row>
    <row r="800" spans="3:3" ht="14.25" customHeight="1">
      <c r="C800" s="78"/>
    </row>
    <row r="801" spans="3:3" ht="14.25" customHeight="1">
      <c r="C801" s="78"/>
    </row>
    <row r="802" spans="3:3" ht="14.25" customHeight="1">
      <c r="C802" s="78"/>
    </row>
    <row r="803" spans="3:3" ht="14.25" customHeight="1">
      <c r="C803" s="78"/>
    </row>
    <row r="804" spans="3:3" ht="14.25" customHeight="1">
      <c r="C804" s="78"/>
    </row>
    <row r="805" spans="3:3" ht="14.25" customHeight="1">
      <c r="C805" s="78"/>
    </row>
    <row r="806" spans="3:3" ht="14.25" customHeight="1">
      <c r="C806" s="78"/>
    </row>
    <row r="807" spans="3:3" ht="14.25" customHeight="1">
      <c r="C807" s="78"/>
    </row>
    <row r="808" spans="3:3" ht="14.25" customHeight="1">
      <c r="C808" s="78"/>
    </row>
    <row r="809" spans="3:3" ht="14.25" customHeight="1">
      <c r="C809" s="78"/>
    </row>
    <row r="810" spans="3:3" ht="14.25" customHeight="1">
      <c r="C810" s="78"/>
    </row>
    <row r="811" spans="3:3" ht="14.25" customHeight="1">
      <c r="C811" s="78"/>
    </row>
    <row r="812" spans="3:3" ht="14.25" customHeight="1">
      <c r="C812" s="78"/>
    </row>
    <row r="813" spans="3:3" ht="14.25" customHeight="1">
      <c r="C813" s="78"/>
    </row>
    <row r="814" spans="3:3" ht="14.25" customHeight="1">
      <c r="C814" s="78"/>
    </row>
    <row r="815" spans="3:3" ht="14.25" customHeight="1">
      <c r="C815" s="78"/>
    </row>
    <row r="816" spans="3:3" ht="14.25" customHeight="1">
      <c r="C816" s="78"/>
    </row>
    <row r="817" spans="3:3" ht="14.25" customHeight="1">
      <c r="C817" s="78"/>
    </row>
    <row r="818" spans="3:3" ht="14.25" customHeight="1">
      <c r="C818" s="78"/>
    </row>
    <row r="819" spans="3:3" ht="14.25" customHeight="1">
      <c r="C819" s="78"/>
    </row>
    <row r="820" spans="3:3" ht="14.25" customHeight="1">
      <c r="C820" s="78"/>
    </row>
    <row r="821" spans="3:3" ht="14.25" customHeight="1">
      <c r="C821" s="78"/>
    </row>
    <row r="822" spans="3:3" ht="14.25" customHeight="1">
      <c r="C822" s="78"/>
    </row>
    <row r="823" spans="3:3" ht="14.25" customHeight="1">
      <c r="C823" s="78"/>
    </row>
    <row r="824" spans="3:3" ht="14.25" customHeight="1">
      <c r="C824" s="78"/>
    </row>
    <row r="825" spans="3:3" ht="14.25" customHeight="1">
      <c r="C825" s="78"/>
    </row>
    <row r="826" spans="3:3" ht="14.25" customHeight="1">
      <c r="C826" s="78"/>
    </row>
    <row r="827" spans="3:3" ht="14.25" customHeight="1">
      <c r="C827" s="78"/>
    </row>
    <row r="828" spans="3:3" ht="14.25" customHeight="1">
      <c r="C828" s="78"/>
    </row>
    <row r="829" spans="3:3" ht="14.25" customHeight="1">
      <c r="C829" s="78"/>
    </row>
    <row r="830" spans="3:3" ht="14.25" customHeight="1">
      <c r="C830" s="78"/>
    </row>
    <row r="831" spans="3:3" ht="14.25" customHeight="1">
      <c r="C831" s="78"/>
    </row>
    <row r="832" spans="3:3" ht="14.25" customHeight="1">
      <c r="C832" s="78"/>
    </row>
    <row r="833" spans="3:3" ht="14.25" customHeight="1">
      <c r="C833" s="78"/>
    </row>
    <row r="834" spans="3:3" ht="14.25" customHeight="1">
      <c r="C834" s="78"/>
    </row>
    <row r="835" spans="3:3" ht="14.25" customHeight="1">
      <c r="C835" s="78"/>
    </row>
    <row r="836" spans="3:3" ht="14.25" customHeight="1">
      <c r="C836" s="78"/>
    </row>
    <row r="837" spans="3:3" ht="14.25" customHeight="1">
      <c r="C837" s="78"/>
    </row>
    <row r="838" spans="3:3" ht="14.25" customHeight="1">
      <c r="C838" s="78"/>
    </row>
    <row r="839" spans="3:3" ht="14.25" customHeight="1">
      <c r="C839" s="78"/>
    </row>
    <row r="840" spans="3:3" ht="14.25" customHeight="1">
      <c r="C840" s="78"/>
    </row>
    <row r="841" spans="3:3" ht="14.25" customHeight="1">
      <c r="C841" s="78"/>
    </row>
    <row r="842" spans="3:3" ht="14.25" customHeight="1">
      <c r="C842" s="78"/>
    </row>
    <row r="843" spans="3:3" ht="14.25" customHeight="1">
      <c r="C843" s="78"/>
    </row>
    <row r="844" spans="3:3" ht="14.25" customHeight="1">
      <c r="C844" s="78"/>
    </row>
    <row r="845" spans="3:3" ht="14.25" customHeight="1">
      <c r="C845" s="78"/>
    </row>
    <row r="846" spans="3:3" ht="14.25" customHeight="1">
      <c r="C846" s="78"/>
    </row>
    <row r="847" spans="3:3" ht="14.25" customHeight="1">
      <c r="C847" s="78"/>
    </row>
    <row r="848" spans="3:3" ht="14.25" customHeight="1">
      <c r="C848" s="78"/>
    </row>
    <row r="849" spans="3:3" ht="14.25" customHeight="1">
      <c r="C849" s="78"/>
    </row>
    <row r="850" spans="3:3" ht="14.25" customHeight="1">
      <c r="C850" s="78"/>
    </row>
    <row r="851" spans="3:3" ht="14.25" customHeight="1">
      <c r="C851" s="78"/>
    </row>
    <row r="852" spans="3:3" ht="14.25" customHeight="1">
      <c r="C852" s="78"/>
    </row>
    <row r="853" spans="3:3" ht="14.25" customHeight="1">
      <c r="C853" s="78"/>
    </row>
    <row r="854" spans="3:3" ht="14.25" customHeight="1">
      <c r="C854" s="78"/>
    </row>
    <row r="855" spans="3:3" ht="14.25" customHeight="1">
      <c r="C855" s="78"/>
    </row>
    <row r="856" spans="3:3" ht="14.25" customHeight="1">
      <c r="C856" s="78"/>
    </row>
    <row r="857" spans="3:3" ht="14.25" customHeight="1">
      <c r="C857" s="78"/>
    </row>
    <row r="858" spans="3:3" ht="14.25" customHeight="1">
      <c r="C858" s="78"/>
    </row>
    <row r="859" spans="3:3" ht="14.25" customHeight="1">
      <c r="C859" s="78"/>
    </row>
    <row r="860" spans="3:3" ht="14.25" customHeight="1">
      <c r="C860" s="78"/>
    </row>
    <row r="861" spans="3:3" ht="14.25" customHeight="1">
      <c r="C861" s="78"/>
    </row>
    <row r="862" spans="3:3" ht="14.25" customHeight="1">
      <c r="C862" s="78"/>
    </row>
    <row r="863" spans="3:3" ht="14.25" customHeight="1">
      <c r="C863" s="78"/>
    </row>
    <row r="864" spans="3:3" ht="14.25" customHeight="1">
      <c r="C864" s="78"/>
    </row>
    <row r="865" spans="3:3" ht="14.25" customHeight="1">
      <c r="C865" s="78"/>
    </row>
    <row r="866" spans="3:3" ht="14.25" customHeight="1">
      <c r="C866" s="78"/>
    </row>
    <row r="867" spans="3:3" ht="14.25" customHeight="1">
      <c r="C867" s="78"/>
    </row>
    <row r="868" spans="3:3" ht="14.25" customHeight="1">
      <c r="C868" s="78"/>
    </row>
    <row r="869" spans="3:3" ht="14.25" customHeight="1">
      <c r="C869" s="78"/>
    </row>
    <row r="870" spans="3:3" ht="14.25" customHeight="1">
      <c r="C870" s="78"/>
    </row>
    <row r="871" spans="3:3" ht="14.25" customHeight="1">
      <c r="C871" s="78"/>
    </row>
    <row r="872" spans="3:3" ht="14.25" customHeight="1">
      <c r="C872" s="78"/>
    </row>
    <row r="873" spans="3:3" ht="14.25" customHeight="1">
      <c r="C873" s="78"/>
    </row>
    <row r="874" spans="3:3" ht="14.25" customHeight="1">
      <c r="C874" s="78"/>
    </row>
    <row r="875" spans="3:3" ht="14.25" customHeight="1">
      <c r="C875" s="78"/>
    </row>
    <row r="876" spans="3:3" ht="14.25" customHeight="1">
      <c r="C876" s="78"/>
    </row>
    <row r="877" spans="3:3" ht="14.25" customHeight="1">
      <c r="C877" s="78"/>
    </row>
    <row r="878" spans="3:3" ht="14.25" customHeight="1">
      <c r="C878" s="78"/>
    </row>
    <row r="879" spans="3:3" ht="14.25" customHeight="1">
      <c r="C879" s="78"/>
    </row>
    <row r="880" spans="3:3" ht="14.25" customHeight="1">
      <c r="C880" s="78"/>
    </row>
    <row r="881" spans="3:3" ht="14.25" customHeight="1">
      <c r="C881" s="78"/>
    </row>
    <row r="882" spans="3:3" ht="14.25" customHeight="1">
      <c r="C882" s="78"/>
    </row>
    <row r="883" spans="3:3" ht="14.25" customHeight="1">
      <c r="C883" s="78"/>
    </row>
    <row r="884" spans="3:3" ht="14.25" customHeight="1">
      <c r="C884" s="78"/>
    </row>
    <row r="885" spans="3:3" ht="14.25" customHeight="1">
      <c r="C885" s="78"/>
    </row>
    <row r="886" spans="3:3" ht="14.25" customHeight="1">
      <c r="C886" s="78"/>
    </row>
    <row r="887" spans="3:3" ht="14.25" customHeight="1">
      <c r="C887" s="78"/>
    </row>
    <row r="888" spans="3:3" ht="14.25" customHeight="1">
      <c r="C888" s="78"/>
    </row>
    <row r="889" spans="3:3" ht="14.25" customHeight="1">
      <c r="C889" s="78"/>
    </row>
    <row r="890" spans="3:3" ht="14.25" customHeight="1">
      <c r="C890" s="78"/>
    </row>
    <row r="891" spans="3:3" ht="14.25" customHeight="1">
      <c r="C891" s="78"/>
    </row>
    <row r="892" spans="3:3" ht="14.25" customHeight="1">
      <c r="C892" s="78"/>
    </row>
    <row r="893" spans="3:3" ht="14.25" customHeight="1">
      <c r="C893" s="78"/>
    </row>
    <row r="894" spans="3:3" ht="14.25" customHeight="1">
      <c r="C894" s="78"/>
    </row>
    <row r="895" spans="3:3" ht="14.25" customHeight="1">
      <c r="C895" s="78"/>
    </row>
    <row r="896" spans="3:3" ht="14.25" customHeight="1">
      <c r="C896" s="78"/>
    </row>
    <row r="897" spans="3:3" ht="14.25" customHeight="1">
      <c r="C897" s="78"/>
    </row>
    <row r="898" spans="3:3" ht="14.25" customHeight="1">
      <c r="C898" s="78"/>
    </row>
    <row r="899" spans="3:3" ht="14.25" customHeight="1">
      <c r="C899" s="78"/>
    </row>
    <row r="900" spans="3:3" ht="14.25" customHeight="1">
      <c r="C900" s="78"/>
    </row>
    <row r="901" spans="3:3" ht="14.25" customHeight="1">
      <c r="C901" s="78"/>
    </row>
    <row r="902" spans="3:3" ht="14.25" customHeight="1">
      <c r="C902" s="78"/>
    </row>
    <row r="903" spans="3:3" ht="14.25" customHeight="1">
      <c r="C903" s="78"/>
    </row>
    <row r="904" spans="3:3" ht="14.25" customHeight="1">
      <c r="C904" s="78"/>
    </row>
    <row r="905" spans="3:3" ht="14.25" customHeight="1">
      <c r="C905" s="78"/>
    </row>
    <row r="906" spans="3:3" ht="14.25" customHeight="1">
      <c r="C906" s="78"/>
    </row>
    <row r="907" spans="3:3" ht="14.25" customHeight="1">
      <c r="C907" s="78"/>
    </row>
    <row r="908" spans="3:3" ht="14.25" customHeight="1">
      <c r="C908" s="78"/>
    </row>
    <row r="909" spans="3:3" ht="14.25" customHeight="1">
      <c r="C909" s="78"/>
    </row>
    <row r="910" spans="3:3" ht="14.25" customHeight="1">
      <c r="C910" s="78"/>
    </row>
    <row r="911" spans="3:3" ht="14.25" customHeight="1">
      <c r="C911" s="78"/>
    </row>
    <row r="912" spans="3:3" ht="14.25" customHeight="1">
      <c r="C912" s="78"/>
    </row>
    <row r="913" spans="3:3" ht="14.25" customHeight="1">
      <c r="C913" s="78"/>
    </row>
    <row r="914" spans="3:3" ht="14.25" customHeight="1">
      <c r="C914" s="78"/>
    </row>
    <row r="915" spans="3:3" ht="14.25" customHeight="1">
      <c r="C915" s="78"/>
    </row>
    <row r="916" spans="3:3" ht="14.25" customHeight="1">
      <c r="C916" s="78"/>
    </row>
    <row r="917" spans="3:3" ht="14.25" customHeight="1">
      <c r="C917" s="78"/>
    </row>
    <row r="918" spans="3:3" ht="14.25" customHeight="1">
      <c r="C918" s="78"/>
    </row>
    <row r="919" spans="3:3" ht="14.25" customHeight="1">
      <c r="C919" s="78"/>
    </row>
    <row r="920" spans="3:3" ht="14.25" customHeight="1">
      <c r="C920" s="78"/>
    </row>
    <row r="921" spans="3:3" ht="14.25" customHeight="1">
      <c r="C921" s="78"/>
    </row>
    <row r="922" spans="3:3" ht="14.25" customHeight="1">
      <c r="C922" s="78"/>
    </row>
    <row r="923" spans="3:3" ht="14.25" customHeight="1">
      <c r="C923" s="78"/>
    </row>
    <row r="924" spans="3:3" ht="14.25" customHeight="1">
      <c r="C924" s="78"/>
    </row>
    <row r="925" spans="3:3" ht="14.25" customHeight="1">
      <c r="C925" s="78"/>
    </row>
    <row r="926" spans="3:3" ht="14.25" customHeight="1">
      <c r="C926" s="78"/>
    </row>
    <row r="927" spans="3:3" ht="14.25" customHeight="1">
      <c r="C927" s="78"/>
    </row>
    <row r="928" spans="3:3" ht="14.25" customHeight="1">
      <c r="C928" s="78"/>
    </row>
    <row r="929" spans="3:3" ht="14.25" customHeight="1">
      <c r="C929" s="78"/>
    </row>
    <row r="930" spans="3:3" ht="14.25" customHeight="1">
      <c r="C930" s="78"/>
    </row>
    <row r="931" spans="3:3" ht="14.25" customHeight="1">
      <c r="C931" s="78"/>
    </row>
    <row r="932" spans="3:3" ht="14.25" customHeight="1">
      <c r="C932" s="78"/>
    </row>
    <row r="933" spans="3:3" ht="14.25" customHeight="1">
      <c r="C933" s="78"/>
    </row>
    <row r="934" spans="3:3" ht="14.25" customHeight="1">
      <c r="C934" s="78"/>
    </row>
    <row r="935" spans="3:3" ht="14.25" customHeight="1">
      <c r="C935" s="78"/>
    </row>
    <row r="936" spans="3:3" ht="14.25" customHeight="1">
      <c r="C936" s="78"/>
    </row>
    <row r="937" spans="3:3" ht="14.25" customHeight="1">
      <c r="C937" s="78"/>
    </row>
    <row r="938" spans="3:3" ht="14.25" customHeight="1">
      <c r="C938" s="78"/>
    </row>
    <row r="939" spans="3:3" ht="14.25" customHeight="1">
      <c r="C939" s="78"/>
    </row>
    <row r="940" spans="3:3" ht="14.25" customHeight="1">
      <c r="C940" s="78"/>
    </row>
    <row r="941" spans="3:3" ht="14.25" customHeight="1">
      <c r="C941" s="78"/>
    </row>
    <row r="942" spans="3:3" ht="14.25" customHeight="1">
      <c r="C942" s="78"/>
    </row>
    <row r="943" spans="3:3" ht="14.25" customHeight="1">
      <c r="C943" s="78"/>
    </row>
    <row r="944" spans="3:3" ht="14.25" customHeight="1">
      <c r="C944" s="78"/>
    </row>
    <row r="945" spans="3:3" ht="14.25" customHeight="1">
      <c r="C945" s="78"/>
    </row>
    <row r="946" spans="3:3" ht="14.25" customHeight="1">
      <c r="C946" s="78"/>
    </row>
    <row r="947" spans="3:3" ht="14.25" customHeight="1">
      <c r="C947" s="78"/>
    </row>
    <row r="948" spans="3:3" ht="14.25" customHeight="1">
      <c r="C948" s="78"/>
    </row>
    <row r="949" spans="3:3" ht="14.25" customHeight="1">
      <c r="C949" s="78"/>
    </row>
    <row r="950" spans="3:3" ht="14.25" customHeight="1">
      <c r="C950" s="78"/>
    </row>
    <row r="951" spans="3:3" ht="14.25" customHeight="1">
      <c r="C951" s="78"/>
    </row>
    <row r="952" spans="3:3" ht="14.25" customHeight="1">
      <c r="C952" s="78"/>
    </row>
    <row r="953" spans="3:3" ht="14.25" customHeight="1">
      <c r="C953" s="78"/>
    </row>
    <row r="954" spans="3:3" ht="14.25" customHeight="1">
      <c r="C954" s="78"/>
    </row>
    <row r="955" spans="3:3" ht="14.25" customHeight="1">
      <c r="C955" s="78"/>
    </row>
    <row r="956" spans="3:3" ht="14.25" customHeight="1">
      <c r="C956" s="78"/>
    </row>
    <row r="957" spans="3:3" ht="14.25" customHeight="1">
      <c r="C957" s="78"/>
    </row>
    <row r="958" spans="3:3" ht="14.25" customHeight="1">
      <c r="C958" s="78"/>
    </row>
    <row r="959" spans="3:3" ht="14.25" customHeight="1">
      <c r="C959" s="78"/>
    </row>
    <row r="960" spans="3:3" ht="14.25" customHeight="1">
      <c r="C960" s="78"/>
    </row>
    <row r="961" spans="3:3" ht="14.25" customHeight="1">
      <c r="C961" s="78"/>
    </row>
    <row r="962" spans="3:3" ht="14.25" customHeight="1">
      <c r="C962" s="78"/>
    </row>
    <row r="963" spans="3:3" ht="14.25" customHeight="1">
      <c r="C963" s="78"/>
    </row>
    <row r="964" spans="3:3" ht="14.25" customHeight="1">
      <c r="C964" s="78"/>
    </row>
    <row r="965" spans="3:3" ht="14.25" customHeight="1">
      <c r="C965" s="78"/>
    </row>
    <row r="966" spans="3:3" ht="14.25" customHeight="1">
      <c r="C966" s="78"/>
    </row>
    <row r="967" spans="3:3" ht="14.25" customHeight="1">
      <c r="C967" s="78"/>
    </row>
    <row r="968" spans="3:3" ht="14.25" customHeight="1">
      <c r="C968" s="78"/>
    </row>
    <row r="969" spans="3:3" ht="14.25" customHeight="1">
      <c r="C969" s="78"/>
    </row>
    <row r="970" spans="3:3" ht="14.25" customHeight="1">
      <c r="C970" s="78"/>
    </row>
    <row r="971" spans="3:3" ht="14.25" customHeight="1">
      <c r="C971" s="78"/>
    </row>
    <row r="972" spans="3:3" ht="14.25" customHeight="1">
      <c r="C972" s="78"/>
    </row>
    <row r="973" spans="3:3" ht="14.25" customHeight="1">
      <c r="C973" s="78"/>
    </row>
    <row r="974" spans="3:3" ht="14.25" customHeight="1">
      <c r="C974" s="78"/>
    </row>
    <row r="975" spans="3:3" ht="14.25" customHeight="1">
      <c r="C975" s="78"/>
    </row>
    <row r="976" spans="3:3" ht="14.25" customHeight="1">
      <c r="C976" s="78"/>
    </row>
    <row r="977" spans="3:3" ht="14.25" customHeight="1">
      <c r="C977" s="78"/>
    </row>
    <row r="978" spans="3:3" ht="14.25" customHeight="1">
      <c r="C978" s="78"/>
    </row>
    <row r="979" spans="3:3" ht="14.25" customHeight="1">
      <c r="C979" s="78"/>
    </row>
    <row r="980" spans="3:3" ht="14.25" customHeight="1">
      <c r="C980" s="78"/>
    </row>
    <row r="981" spans="3:3" ht="14.25" customHeight="1">
      <c r="C981" s="78"/>
    </row>
    <row r="982" spans="3:3" ht="14.25" customHeight="1">
      <c r="C982" s="78"/>
    </row>
    <row r="983" spans="3:3" ht="14.25" customHeight="1">
      <c r="C983" s="78"/>
    </row>
    <row r="984" spans="3:3" ht="14.25" customHeight="1">
      <c r="C984" s="78"/>
    </row>
    <row r="985" spans="3:3" ht="14.25" customHeight="1">
      <c r="C985" s="78"/>
    </row>
    <row r="986" spans="3:3" ht="14.25" customHeight="1">
      <c r="C986" s="78"/>
    </row>
    <row r="987" spans="3:3" ht="14.25" customHeight="1">
      <c r="C987" s="78"/>
    </row>
    <row r="988" spans="3:3" ht="14.25" customHeight="1">
      <c r="C988" s="78"/>
    </row>
    <row r="989" spans="3:3" ht="14.25" customHeight="1">
      <c r="C989" s="78"/>
    </row>
    <row r="990" spans="3:3" ht="14.25" customHeight="1">
      <c r="C990" s="78"/>
    </row>
    <row r="991" spans="3:3" ht="14.25" customHeight="1">
      <c r="C991" s="78"/>
    </row>
    <row r="992" spans="3:3" ht="14.25" customHeight="1">
      <c r="C992" s="78"/>
    </row>
    <row r="993" spans="3:3" ht="14.25" customHeight="1">
      <c r="C993" s="78"/>
    </row>
    <row r="994" spans="3:3" ht="14.25" customHeight="1">
      <c r="C994" s="78"/>
    </row>
    <row r="995" spans="3:3" ht="14.25" customHeight="1">
      <c r="C995" s="78"/>
    </row>
    <row r="996" spans="3:3" ht="14.25" customHeight="1">
      <c r="C996" s="78"/>
    </row>
    <row r="997" spans="3:3" ht="14.25" customHeight="1">
      <c r="C997" s="78"/>
    </row>
    <row r="998" spans="3:3" ht="14.25" customHeight="1">
      <c r="C998" s="78"/>
    </row>
    <row r="999" spans="3:3" ht="14.25" customHeight="1">
      <c r="C999" s="78"/>
    </row>
    <row r="1000" spans="3:3" ht="14.25" customHeight="1">
      <c r="C1000" s="78"/>
    </row>
  </sheetData>
  <mergeCells count="1">
    <mergeCell ref="A30:C30"/>
  </mergeCells>
  <dataValidations count="2">
    <dataValidation type="list" allowBlank="1" showErrorMessage="1" sqref="B18" xr:uid="{00000000-0002-0000-0300-000000000000}">
      <formula1>PUERTOS</formula1>
    </dataValidation>
    <dataValidation type="list" allowBlank="1" showErrorMessage="1" sqref="C20" xr:uid="{00000000-0002-0000-0300-000001000000}">
      <formula1>PUERTO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/>
  </sheetViews>
  <sheetFormatPr baseColWidth="10" defaultColWidth="12.6328125" defaultRowHeight="15" customHeight="1"/>
  <cols>
    <col min="1" max="1" width="14.08984375" customWidth="1"/>
    <col min="2" max="3" width="12.453125" customWidth="1"/>
    <col min="4" max="4" width="20.7265625" customWidth="1"/>
    <col min="5" max="5" width="14.453125" customWidth="1"/>
    <col min="6" max="26" width="10.6328125" customWidth="1"/>
  </cols>
  <sheetData>
    <row r="1" spans="1:3" ht="14.25" customHeight="1">
      <c r="A1" s="83" t="s">
        <v>136</v>
      </c>
      <c r="B1" s="84" t="s">
        <v>137</v>
      </c>
    </row>
    <row r="2" spans="1:3" ht="14.25" customHeight="1">
      <c r="A2" s="85" t="s">
        <v>138</v>
      </c>
      <c r="B2" s="86">
        <v>68</v>
      </c>
    </row>
    <row r="3" spans="1:3" ht="14.25" customHeight="1">
      <c r="A3" s="85" t="s">
        <v>139</v>
      </c>
      <c r="B3" s="86">
        <v>4100</v>
      </c>
    </row>
    <row r="4" spans="1:3" ht="14.25" customHeight="1">
      <c r="A4" s="87" t="s">
        <v>140</v>
      </c>
      <c r="B4" s="88">
        <v>1.0999999999999999E-2</v>
      </c>
    </row>
    <row r="5" spans="1:3" ht="14.25" customHeight="1">
      <c r="A5" s="87" t="s">
        <v>141</v>
      </c>
      <c r="B5" s="68" t="s">
        <v>116</v>
      </c>
      <c r="C5" s="68" t="s">
        <v>76</v>
      </c>
    </row>
    <row r="6" spans="1:3" ht="14.25" customHeight="1">
      <c r="A6" s="87" t="s">
        <v>142</v>
      </c>
    </row>
    <row r="7" spans="1:3" ht="14.25" customHeight="1">
      <c r="A7" s="87" t="s">
        <v>143</v>
      </c>
      <c r="B7" s="89">
        <v>7</v>
      </c>
    </row>
    <row r="8" spans="1:3" ht="14.25" customHeight="1"/>
    <row r="9" spans="1:3" ht="14.25" customHeight="1"/>
    <row r="10" spans="1:3" ht="14.25" customHeight="1"/>
    <row r="11" spans="1:3" ht="14.25" customHeight="1"/>
    <row r="12" spans="1:3" ht="14.25" customHeight="1"/>
    <row r="13" spans="1:3" ht="14.25" customHeight="1"/>
    <row r="14" spans="1:3" ht="14.25" customHeight="1"/>
    <row r="15" spans="1:3" ht="14.25" customHeight="1"/>
    <row r="16" spans="1: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2.6328125" defaultRowHeight="15" customHeight="1"/>
  <cols>
    <col min="1" max="2" width="10.6328125" customWidth="1"/>
    <col min="3" max="3" width="15.08984375" customWidth="1"/>
    <col min="4" max="5" width="10.6328125" customWidth="1"/>
    <col min="6" max="6" width="18.453125" customWidth="1"/>
    <col min="7" max="26" width="10.6328125" customWidth="1"/>
  </cols>
  <sheetData>
    <row r="1" spans="1:26" ht="14.25" customHeight="1">
      <c r="A1" s="77" t="s">
        <v>61</v>
      </c>
      <c r="B1" s="77"/>
    </row>
    <row r="2" spans="1:26" ht="14.25" customHeight="1"/>
    <row r="3" spans="1:26" ht="14.25" customHeight="1">
      <c r="C3" s="68" t="s">
        <v>64</v>
      </c>
      <c r="D3" s="68" t="s">
        <v>64</v>
      </c>
      <c r="E3" s="68" t="s">
        <v>64</v>
      </c>
      <c r="F3" s="68" t="s">
        <v>64</v>
      </c>
      <c r="G3" s="68" t="s">
        <v>64</v>
      </c>
      <c r="H3" s="68" t="s">
        <v>64</v>
      </c>
      <c r="I3" s="68" t="s">
        <v>59</v>
      </c>
      <c r="J3" s="68" t="s">
        <v>59</v>
      </c>
      <c r="K3" s="68" t="s">
        <v>59</v>
      </c>
      <c r="L3" s="68" t="s">
        <v>59</v>
      </c>
      <c r="M3" s="68" t="s">
        <v>59</v>
      </c>
      <c r="N3" s="68" t="s">
        <v>59</v>
      </c>
      <c r="O3" s="68" t="s">
        <v>59</v>
      </c>
      <c r="P3" s="68" t="s">
        <v>66</v>
      </c>
      <c r="Q3" s="68" t="s">
        <v>66</v>
      </c>
      <c r="R3" s="68" t="s">
        <v>66</v>
      </c>
      <c r="S3" s="68" t="s">
        <v>144</v>
      </c>
    </row>
    <row r="4" spans="1:26" ht="14.25" customHeight="1">
      <c r="C4" s="68" t="s">
        <v>145</v>
      </c>
      <c r="D4" s="68" t="s">
        <v>146</v>
      </c>
      <c r="E4" s="68" t="s">
        <v>147</v>
      </c>
      <c r="F4" s="68" t="s">
        <v>148</v>
      </c>
      <c r="G4" s="68" t="s">
        <v>149</v>
      </c>
      <c r="H4" s="68" t="s">
        <v>150</v>
      </c>
      <c r="I4" s="78" t="s">
        <v>151</v>
      </c>
      <c r="J4" s="78" t="s">
        <v>152</v>
      </c>
      <c r="K4" s="78" t="s">
        <v>153</v>
      </c>
      <c r="L4" s="78" t="s">
        <v>154</v>
      </c>
      <c r="M4" s="78" t="s">
        <v>155</v>
      </c>
      <c r="N4" s="78" t="s">
        <v>156</v>
      </c>
      <c r="O4" s="78" t="s">
        <v>157</v>
      </c>
      <c r="P4" s="78" t="s">
        <v>158</v>
      </c>
      <c r="Q4" s="78" t="s">
        <v>159</v>
      </c>
      <c r="R4" s="78" t="s">
        <v>160</v>
      </c>
      <c r="S4" s="78" t="s">
        <v>161</v>
      </c>
    </row>
    <row r="5" spans="1:26" ht="14.25" customHeight="1"/>
    <row r="6" spans="1:26" ht="14.25" customHeight="1"/>
    <row r="7" spans="1:26" ht="14.25" customHeight="1">
      <c r="A7" s="90"/>
      <c r="B7" s="90"/>
      <c r="C7" s="90" t="s">
        <v>162</v>
      </c>
      <c r="D7" s="90"/>
      <c r="E7" s="90" t="s">
        <v>64</v>
      </c>
      <c r="F7" s="91" t="s">
        <v>61</v>
      </c>
      <c r="G7" s="90" t="s">
        <v>59</v>
      </c>
      <c r="H7" s="90" t="s">
        <v>66</v>
      </c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 spans="1:26" ht="14.25" customHeight="1">
      <c r="C8" s="68" t="s">
        <v>64</v>
      </c>
      <c r="E8" s="68" t="s">
        <v>65</v>
      </c>
      <c r="F8" s="92" t="s">
        <v>62</v>
      </c>
      <c r="G8" s="78" t="s">
        <v>67</v>
      </c>
      <c r="H8" s="78" t="s">
        <v>130</v>
      </c>
    </row>
    <row r="9" spans="1:26" ht="14.25" customHeight="1">
      <c r="C9" s="68" t="s">
        <v>59</v>
      </c>
      <c r="E9" s="68" t="s">
        <v>118</v>
      </c>
      <c r="F9" s="92"/>
      <c r="G9" s="78" t="s">
        <v>125</v>
      </c>
      <c r="H9" s="78" t="s">
        <v>131</v>
      </c>
    </row>
    <row r="10" spans="1:26" ht="14.25" customHeight="1">
      <c r="C10" s="68" t="s">
        <v>66</v>
      </c>
      <c r="E10" s="68" t="s">
        <v>119</v>
      </c>
      <c r="F10" s="92"/>
      <c r="G10" s="78" t="s">
        <v>126</v>
      </c>
      <c r="H10" s="78" t="s">
        <v>132</v>
      </c>
    </row>
    <row r="11" spans="1:26" ht="14.25" customHeight="1">
      <c r="C11" s="68" t="s">
        <v>61</v>
      </c>
      <c r="E11" s="68" t="s">
        <v>120</v>
      </c>
      <c r="F11" s="92"/>
      <c r="G11" s="78" t="s">
        <v>127</v>
      </c>
    </row>
    <row r="12" spans="1:26" ht="14.25" customHeight="1">
      <c r="C12" s="68" t="s">
        <v>63</v>
      </c>
      <c r="E12" s="68" t="s">
        <v>121</v>
      </c>
      <c r="G12" s="78" t="s">
        <v>128</v>
      </c>
    </row>
    <row r="13" spans="1:26" ht="14.25" customHeight="1">
      <c r="E13" s="68" t="s">
        <v>122</v>
      </c>
      <c r="G13" s="78" t="s">
        <v>129</v>
      </c>
    </row>
    <row r="14" spans="1:26" ht="14.25" customHeight="1">
      <c r="G14" s="78" t="s">
        <v>68</v>
      </c>
      <c r="L14" s="78" t="s">
        <v>151</v>
      </c>
      <c r="M14" s="68" t="s">
        <v>116</v>
      </c>
      <c r="N14" s="79">
        <v>168000</v>
      </c>
    </row>
    <row r="15" spans="1:26" ht="14.25" customHeight="1">
      <c r="L15" s="78" t="s">
        <v>152</v>
      </c>
      <c r="M15" s="68" t="s">
        <v>116</v>
      </c>
      <c r="N15" s="79">
        <v>20000</v>
      </c>
    </row>
    <row r="16" spans="1:26" ht="14.25" customHeight="1">
      <c r="A16" s="68"/>
      <c r="L16" s="78" t="s">
        <v>153</v>
      </c>
      <c r="M16" s="68" t="s">
        <v>116</v>
      </c>
      <c r="N16" s="79">
        <v>20000</v>
      </c>
    </row>
    <row r="17" spans="3:14" ht="14.25" customHeight="1">
      <c r="L17" s="78" t="s">
        <v>154</v>
      </c>
      <c r="M17" s="68" t="s">
        <v>116</v>
      </c>
      <c r="N17" s="79">
        <v>28000</v>
      </c>
    </row>
    <row r="18" spans="3:14" ht="14.25" customHeight="1">
      <c r="C18" s="68" t="s">
        <v>163</v>
      </c>
      <c r="D18" s="68" t="s">
        <v>164</v>
      </c>
      <c r="L18" s="78" t="s">
        <v>155</v>
      </c>
      <c r="M18" s="68" t="s">
        <v>116</v>
      </c>
      <c r="N18" s="79">
        <v>80000</v>
      </c>
    </row>
    <row r="19" spans="3:14" ht="14.25" customHeight="1">
      <c r="C19" s="77" t="s">
        <v>61</v>
      </c>
      <c r="E19" s="90" t="s">
        <v>162</v>
      </c>
      <c r="F19" s="90" t="s">
        <v>64</v>
      </c>
      <c r="L19" s="78" t="s">
        <v>156</v>
      </c>
      <c r="M19" s="68" t="s">
        <v>116</v>
      </c>
      <c r="N19" s="79">
        <v>80000</v>
      </c>
    </row>
    <row r="20" spans="3:14" ht="14.25" customHeight="1">
      <c r="C20" s="68" t="s">
        <v>144</v>
      </c>
      <c r="E20" s="68" t="s">
        <v>64</v>
      </c>
      <c r="F20" s="68" t="s">
        <v>65</v>
      </c>
      <c r="L20" s="78" t="s">
        <v>157</v>
      </c>
      <c r="M20" s="68" t="s">
        <v>116</v>
      </c>
      <c r="N20" s="79">
        <v>80000</v>
      </c>
    </row>
    <row r="21" spans="3:14" ht="14.25" customHeight="1">
      <c r="C21" s="77" t="s">
        <v>66</v>
      </c>
      <c r="E21" s="68" t="s">
        <v>59</v>
      </c>
      <c r="F21" s="68" t="s">
        <v>118</v>
      </c>
      <c r="L21" s="78" t="s">
        <v>158</v>
      </c>
      <c r="M21" s="68" t="s">
        <v>116</v>
      </c>
      <c r="N21" s="79">
        <v>30000</v>
      </c>
    </row>
    <row r="22" spans="3:14" ht="14.25" customHeight="1">
      <c r="C22" s="68" t="s">
        <v>64</v>
      </c>
      <c r="E22" s="68" t="s">
        <v>66</v>
      </c>
      <c r="F22" s="68" t="s">
        <v>119</v>
      </c>
      <c r="L22" s="78" t="s">
        <v>159</v>
      </c>
      <c r="M22" s="68" t="s">
        <v>116</v>
      </c>
      <c r="N22" s="79">
        <v>30000</v>
      </c>
    </row>
    <row r="23" spans="3:14" ht="14.25" customHeight="1">
      <c r="C23" s="77" t="s">
        <v>64</v>
      </c>
      <c r="E23" s="68" t="s">
        <v>61</v>
      </c>
      <c r="F23" s="68" t="s">
        <v>120</v>
      </c>
      <c r="L23" s="78" t="s">
        <v>160</v>
      </c>
      <c r="M23" s="68" t="s">
        <v>116</v>
      </c>
      <c r="N23" s="79">
        <v>30000</v>
      </c>
    </row>
    <row r="24" spans="3:14" ht="14.25" customHeight="1">
      <c r="E24" s="68" t="s">
        <v>63</v>
      </c>
      <c r="F24" s="68" t="s">
        <v>121</v>
      </c>
      <c r="L24" s="78" t="s">
        <v>161</v>
      </c>
      <c r="M24" s="68" t="s">
        <v>116</v>
      </c>
      <c r="N24" s="79">
        <v>300000</v>
      </c>
    </row>
    <row r="25" spans="3:14" ht="14.25" customHeight="1">
      <c r="C25" s="68"/>
      <c r="F25" s="68" t="s">
        <v>122</v>
      </c>
    </row>
    <row r="26" spans="3:14" ht="14.25" customHeight="1">
      <c r="F26" s="91" t="s">
        <v>61</v>
      </c>
    </row>
    <row r="27" spans="3:14" ht="14.25" customHeight="1">
      <c r="F27" s="92" t="s">
        <v>62</v>
      </c>
    </row>
    <row r="28" spans="3:14" ht="14.25" customHeight="1">
      <c r="F28" s="90" t="s">
        <v>59</v>
      </c>
    </row>
    <row r="29" spans="3:14" ht="14.25" customHeight="1">
      <c r="D29" s="68" t="s">
        <v>3</v>
      </c>
      <c r="E29" s="68" t="s">
        <v>97</v>
      </c>
      <c r="F29" s="78" t="s">
        <v>67</v>
      </c>
      <c r="G29" s="68" t="s">
        <v>165</v>
      </c>
      <c r="H29" s="68" t="s">
        <v>87</v>
      </c>
    </row>
    <row r="30" spans="3:14" ht="14.25" customHeight="1">
      <c r="D30" s="68" t="s">
        <v>97</v>
      </c>
      <c r="E30" s="93" t="s">
        <v>166</v>
      </c>
      <c r="F30" s="78" t="s">
        <v>125</v>
      </c>
      <c r="G30" s="93" t="s">
        <v>167</v>
      </c>
      <c r="H30" s="93" t="s">
        <v>166</v>
      </c>
    </row>
    <row r="31" spans="3:14" ht="14.25" customHeight="1">
      <c r="D31" s="68" t="s">
        <v>99</v>
      </c>
      <c r="E31" s="93" t="s">
        <v>168</v>
      </c>
      <c r="F31" s="78" t="s">
        <v>126</v>
      </c>
      <c r="G31" s="68" t="s">
        <v>169</v>
      </c>
      <c r="H31" s="93" t="s">
        <v>168</v>
      </c>
    </row>
    <row r="32" spans="3:14" ht="14.25" customHeight="1">
      <c r="D32" s="68" t="s">
        <v>165</v>
      </c>
      <c r="F32" s="78" t="s">
        <v>127</v>
      </c>
      <c r="G32" s="68" t="s">
        <v>170</v>
      </c>
    </row>
    <row r="33" spans="2:6" ht="14.25" customHeight="1">
      <c r="D33" s="68" t="s">
        <v>87</v>
      </c>
      <c r="F33" s="78" t="s">
        <v>128</v>
      </c>
    </row>
    <row r="34" spans="2:6" ht="14.25" customHeight="1">
      <c r="F34" s="78" t="s">
        <v>129</v>
      </c>
    </row>
    <row r="35" spans="2:6" ht="14.25" customHeight="1">
      <c r="F35" s="78" t="s">
        <v>68</v>
      </c>
    </row>
    <row r="36" spans="2:6" ht="14.25" customHeight="1">
      <c r="F36" s="90" t="s">
        <v>66</v>
      </c>
    </row>
    <row r="37" spans="2:6" ht="14.25" customHeight="1">
      <c r="F37" s="78" t="s">
        <v>130</v>
      </c>
    </row>
    <row r="38" spans="2:6" ht="14.25" customHeight="1">
      <c r="F38" s="78" t="s">
        <v>131</v>
      </c>
    </row>
    <row r="39" spans="2:6" ht="14.25" customHeight="1">
      <c r="B39" s="68" t="s">
        <v>87</v>
      </c>
      <c r="F39" s="78" t="s">
        <v>132</v>
      </c>
    </row>
    <row r="40" spans="2:6" ht="14.25" customHeight="1">
      <c r="B40" s="68" t="s">
        <v>97</v>
      </c>
    </row>
    <row r="41" spans="2:6" ht="14.25" customHeight="1"/>
    <row r="42" spans="2:6" ht="14.25" customHeight="1">
      <c r="B42" s="68" t="s">
        <v>87</v>
      </c>
    </row>
    <row r="43" spans="2:6" ht="14.25" customHeight="1">
      <c r="B43" s="68" t="s">
        <v>97</v>
      </c>
    </row>
    <row r="44" spans="2:6" ht="14.25" customHeight="1">
      <c r="B44" s="68" t="s">
        <v>99</v>
      </c>
    </row>
    <row r="45" spans="2:6" ht="14.25" customHeight="1">
      <c r="E45" s="90" t="s">
        <v>162</v>
      </c>
    </row>
    <row r="46" spans="2:6" ht="14.25" customHeight="1">
      <c r="B46" s="68" t="s">
        <v>99</v>
      </c>
      <c r="E46" s="68" t="s">
        <v>64</v>
      </c>
    </row>
    <row r="47" spans="2:6" ht="14.25" customHeight="1">
      <c r="B47" s="68" t="s">
        <v>97</v>
      </c>
      <c r="E47" s="77" t="s">
        <v>59</v>
      </c>
    </row>
    <row r="48" spans="2:6" ht="14.25" customHeight="1">
      <c r="E48" s="68" t="s">
        <v>66</v>
      </c>
    </row>
    <row r="49" spans="5:5" ht="14.25" customHeight="1">
      <c r="E49" s="68" t="s">
        <v>61</v>
      </c>
    </row>
    <row r="50" spans="5:5" ht="14.25" customHeight="1">
      <c r="E50" s="68" t="s">
        <v>63</v>
      </c>
    </row>
    <row r="51" spans="5:5" ht="14.25" customHeight="1"/>
    <row r="52" spans="5:5" ht="14.25" customHeight="1"/>
    <row r="53" spans="5:5" ht="14.25" customHeight="1"/>
    <row r="54" spans="5:5" ht="14.25" customHeight="1"/>
    <row r="55" spans="5:5" ht="14.25" customHeight="1"/>
    <row r="56" spans="5:5" ht="14.25" customHeight="1"/>
    <row r="57" spans="5:5" ht="14.25" customHeight="1"/>
    <row r="58" spans="5:5" ht="14.25" customHeight="1"/>
    <row r="59" spans="5:5" ht="14.25" customHeight="1"/>
    <row r="60" spans="5:5" ht="14.25" customHeight="1"/>
    <row r="61" spans="5:5" ht="14.25" customHeight="1"/>
    <row r="62" spans="5:5" ht="14.25" customHeight="1"/>
    <row r="63" spans="5:5" ht="14.25" customHeight="1"/>
    <row r="64" spans="5:5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 count="3">
    <dataValidation type="list" allowBlank="1" showErrorMessage="1" sqref="B1" xr:uid="{00000000-0002-0000-0500-000000000000}">
      <formula1>$A$1</formula1>
    </dataValidation>
    <dataValidation type="list" allowBlank="1" showErrorMessage="1" sqref="C19:C23 C25 A1" xr:uid="{00000000-0002-0000-0500-000001000000}">
      <formula1>PUERTOS</formula1>
    </dataValidation>
    <dataValidation type="list" allowBlank="1" showErrorMessage="1" sqref="A16" xr:uid="{00000000-0002-0000-0500-000002000000}">
      <formula1>SPD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12</vt:i4>
      </vt:variant>
    </vt:vector>
  </HeadingPairs>
  <TitlesOfParts>
    <vt:vector size="18" baseType="lpstr">
      <vt:lpstr>Resultados</vt:lpstr>
      <vt:lpstr>LLEGADA</vt:lpstr>
      <vt:lpstr>COMPRAS</vt:lpstr>
      <vt:lpstr>PuertosLlegada</vt:lpstr>
      <vt:lpstr>ECONOMICOS</vt:lpstr>
      <vt:lpstr>LISTAS</vt:lpstr>
      <vt:lpstr>BB_Energy</vt:lpstr>
      <vt:lpstr>BRENT</vt:lpstr>
      <vt:lpstr>Ecopetrol</vt:lpstr>
      <vt:lpstr>GUNVOR</vt:lpstr>
      <vt:lpstr>GUNVOR_Mediano</vt:lpstr>
      <vt:lpstr>PALERMO</vt:lpstr>
      <vt:lpstr>PETROMIL</vt:lpstr>
      <vt:lpstr>Proveedor</vt:lpstr>
      <vt:lpstr>PUERTO_BAHIA</vt:lpstr>
      <vt:lpstr>PUERTOS</vt:lpstr>
      <vt:lpstr>SPD</vt:lpstr>
      <vt:lpstr>TRM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Diego Ayala</cp:lastModifiedBy>
  <dcterms:modified xsi:type="dcterms:W3CDTF">2025-09-02T20:08:35Z</dcterms:modified>
</cp:coreProperties>
</file>