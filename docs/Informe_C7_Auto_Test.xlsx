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eneral " sheetId="1" state="visible" r:id="rId1"/>
    <sheet name="Volumen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&quot;$&quot;\ * #,##0_-;\-&quot;$&quot;\ * #,##0_-;_-&quot;$&quot;\ * &quot;-&quot;??_-;_-@_-"/>
    <numFmt numFmtId="165" formatCode="&quot;$&quot;\ #,##0.00"/>
    <numFmt numFmtId="166" formatCode="_-&quot;$&quot;\ * #,##0_-;\-&quot;$&quot;\ * #,##0_-;_-&quot;$&quot;\ * &quot;-&quot;_-;_-@_-"/>
    <numFmt numFmtId="167" formatCode="_-* #,##0_-;\-* #,##0_-;_-* &quot;-&quot;_-;_-@_-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Aptos"/>
      <family val="2"/>
      <color theme="1"/>
      <sz val="11"/>
    </font>
    <font>
      <name val="Aptos Narrow"/>
      <family val="2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1" fillId="0" borderId="0"/>
    <xf numFmtId="41" fontId="1" fillId="0" borderId="0"/>
    <xf numFmtId="44" fontId="1" fillId="0" borderId="0"/>
    <xf numFmtId="42" fontId="1" fillId="0" borderId="0"/>
  </cellStyleXfs>
  <cellXfs count="70">
    <xf numFmtId="0" fontId="0" fillId="0" borderId="0" pivotButton="0" quotePrefix="0" xfId="0"/>
    <xf numFmtId="0" fontId="2" fillId="0" borderId="1" applyAlignment="1" pivotButton="0" quotePrefix="0" xfId="0">
      <alignment horizontal="right" vertical="center"/>
    </xf>
    <xf numFmtId="0" fontId="2" fillId="0" borderId="3" applyAlignment="1" pivotButton="0" quotePrefix="0" xfId="0">
      <alignment horizontal="right"/>
    </xf>
    <xf numFmtId="164" fontId="1" fillId="0" borderId="4" applyAlignment="1" pivotButton="0" quotePrefix="0" xfId="2">
      <alignment horizontal="left" vertical="center"/>
    </xf>
    <xf numFmtId="0" fontId="2" fillId="0" borderId="5" applyAlignment="1" pivotButton="0" quotePrefix="0" xfId="0">
      <alignment horizontal="right"/>
    </xf>
    <xf numFmtId="0" fontId="2" fillId="3" borderId="7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/>
    </xf>
    <xf numFmtId="164" fontId="1" fillId="0" borderId="2" applyAlignment="1" pivotButton="0" quotePrefix="0" xfId="2">
      <alignment horizontal="left" vertical="center"/>
    </xf>
    <xf numFmtId="164" fontId="0" fillId="0" borderId="4" applyAlignment="1" pivotButton="0" quotePrefix="0" xfId="2">
      <alignment horizontal="left"/>
    </xf>
    <xf numFmtId="0" fontId="0" fillId="0" borderId="16" applyAlignment="1" pivotButton="0" quotePrefix="0" xfId="0">
      <alignment horizontal="center" vertical="top"/>
    </xf>
    <xf numFmtId="0" fontId="1" fillId="2" borderId="17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" fontId="3" fillId="0" borderId="16" applyAlignment="1" pivotButton="0" quotePrefix="0" xfId="1">
      <alignment vertical="center"/>
    </xf>
    <xf numFmtId="1" fontId="4" fillId="0" borderId="16" applyAlignment="1" pivotButton="0" quotePrefix="0" xfId="1">
      <alignment vertical="center"/>
    </xf>
    <xf numFmtId="1" fontId="0" fillId="0" borderId="16" applyAlignment="1" pivotButton="0" quotePrefix="0" xfId="1">
      <alignment vertical="center"/>
    </xf>
    <xf numFmtId="164" fontId="0" fillId="0" borderId="6" applyAlignment="1" pivotButton="0" quotePrefix="0" xfId="2">
      <alignment horizontal="left"/>
    </xf>
    <xf numFmtId="0" fontId="0" fillId="0" borderId="16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/>
    </xf>
    <xf numFmtId="1" fontId="3" fillId="0" borderId="16" applyAlignment="1" pivotButton="0" quotePrefix="0" xfId="1">
      <alignment horizontal="right" vertical="center"/>
    </xf>
    <xf numFmtId="0" fontId="0" fillId="0" borderId="16" applyAlignment="1" pivotButton="0" quotePrefix="0" xfId="0">
      <alignment horizontal="right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5" fontId="2" fillId="3" borderId="10" applyAlignment="1" pivotButton="0" quotePrefix="0" xfId="0">
      <alignment horizontal="center" vertical="center"/>
    </xf>
    <xf numFmtId="165" fontId="2" fillId="3" borderId="9" applyAlignment="1" pivotButton="0" quotePrefix="0" xfId="0">
      <alignment horizontal="center" vertical="center"/>
    </xf>
    <xf numFmtId="165" fontId="2" fillId="3" borderId="12" applyAlignment="1" pivotButton="0" quotePrefix="0" xfId="0">
      <alignment horizontal="center" vertical="center"/>
    </xf>
    <xf numFmtId="166" fontId="0" fillId="0" borderId="22" applyAlignment="1" pivotButton="0" quotePrefix="0" xfId="3">
      <alignment horizontal="center" vertical="center"/>
    </xf>
    <xf numFmtId="166" fontId="0" fillId="0" borderId="17" applyAlignment="1" pivotButton="0" quotePrefix="0" xfId="3">
      <alignment horizontal="center" vertical="center"/>
    </xf>
    <xf numFmtId="166" fontId="0" fillId="0" borderId="23" applyAlignment="1" pivotButton="0" quotePrefix="0" xfId="3">
      <alignment horizontal="center" vertical="center"/>
    </xf>
    <xf numFmtId="167" fontId="3" fillId="0" borderId="22" applyAlignment="1" pivotButton="0" quotePrefix="0" xfId="1">
      <alignment horizontal="center" vertical="center"/>
    </xf>
    <xf numFmtId="167" fontId="3" fillId="0" borderId="17" applyAlignment="1" pivotButton="0" quotePrefix="0" xfId="1">
      <alignment horizontal="center" vertical="center"/>
    </xf>
    <xf numFmtId="167" fontId="3" fillId="0" borderId="23" applyAlignment="1" pivotButton="0" quotePrefix="0" xfId="1">
      <alignment horizontal="center" vertical="center"/>
    </xf>
    <xf numFmtId="167" fontId="4" fillId="0" borderId="22" applyAlignment="1" pivotButton="0" quotePrefix="0" xfId="1">
      <alignment horizontal="center" vertical="center"/>
    </xf>
    <xf numFmtId="167" fontId="4" fillId="0" borderId="17" applyAlignment="1" pivotButton="0" quotePrefix="0" xfId="1">
      <alignment horizontal="center" vertical="center"/>
    </xf>
    <xf numFmtId="167" fontId="4" fillId="0" borderId="23" applyAlignment="1" pivotButton="0" quotePrefix="0" xfId="1">
      <alignment horizontal="center" vertical="center"/>
    </xf>
    <xf numFmtId="167" fontId="0" fillId="0" borderId="22" applyAlignment="1" pivotButton="0" quotePrefix="0" xfId="1">
      <alignment horizontal="center" vertical="center"/>
    </xf>
    <xf numFmtId="167" fontId="0" fillId="0" borderId="17" applyAlignment="1" pivotButton="0" quotePrefix="0" xfId="1">
      <alignment horizontal="center" vertical="center"/>
    </xf>
    <xf numFmtId="167" fontId="0" fillId="0" borderId="23" applyAlignment="1" pivotButton="0" quotePrefix="0" xfId="1">
      <alignment horizontal="center" vertical="center"/>
    </xf>
    <xf numFmtId="167" fontId="5" fillId="4" borderId="22" applyAlignment="1" pivotButton="0" quotePrefix="0" xfId="1">
      <alignment horizontal="center" vertical="center"/>
    </xf>
    <xf numFmtId="167" fontId="5" fillId="4" borderId="17" applyAlignment="1" pivotButton="0" quotePrefix="0" xfId="1">
      <alignment horizontal="center" vertical="center"/>
    </xf>
    <xf numFmtId="167" fontId="5" fillId="4" borderId="23" applyAlignment="1" pivotButton="0" quotePrefix="0" xfId="1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9" pivotButton="0" quotePrefix="0" xfId="0"/>
    <xf numFmtId="0" fontId="2" fillId="3" borderId="27" applyAlignment="1" pivotButton="0" quotePrefix="0" xfId="0">
      <alignment horizontal="center" vertical="center"/>
    </xf>
    <xf numFmtId="0" fontId="0" fillId="0" borderId="11" pivotButton="0" quotePrefix="0" xfId="0"/>
    <xf numFmtId="165" fontId="2" fillId="3" borderId="2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30" pivotButton="0" quotePrefix="0" xfId="0"/>
    <xf numFmtId="0" fontId="0" fillId="0" borderId="24" applyAlignment="1" pivotButton="0" quotePrefix="0" xfId="0">
      <alignment horizontal="center" vertical="center" wrapText="1"/>
    </xf>
    <xf numFmtId="167" fontId="3" fillId="0" borderId="16" applyAlignment="1" pivotButton="0" quotePrefix="0" xfId="1">
      <alignment horizontal="center" vertical="center"/>
    </xf>
    <xf numFmtId="167" fontId="4" fillId="0" borderId="16" applyAlignment="1" pivotButton="0" quotePrefix="0" xfId="1">
      <alignment horizontal="center" vertical="center"/>
    </xf>
    <xf numFmtId="167" fontId="0" fillId="0" borderId="16" applyAlignment="1" pivotButton="0" quotePrefix="0" xfId="1">
      <alignment horizontal="center" vertical="center"/>
    </xf>
    <xf numFmtId="167" fontId="5" fillId="4" borderId="16" applyAlignment="1" pivotButton="0" quotePrefix="0" xfId="1">
      <alignment horizontal="center" vertical="center"/>
    </xf>
    <xf numFmtId="166" fontId="0" fillId="0" borderId="16" applyAlignment="1" pivotButton="0" quotePrefix="0" xfId="3">
      <alignment horizontal="center" vertical="center"/>
    </xf>
    <xf numFmtId="0" fontId="0" fillId="0" borderId="20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23" pivotButton="0" quotePrefix="0" xfId="0"/>
    <xf numFmtId="0" fontId="2" fillId="3" borderId="32" applyAlignment="1" pivotButton="0" quotePrefix="0" xfId="0">
      <alignment horizontal="center" vertical="center"/>
    </xf>
  </cellXfs>
  <cellStyles count="4">
    <cellStyle name="Normal" xfId="0" builtinId="0"/>
    <cellStyle name="Millares [0]" xfId="1" builtinId="6"/>
    <cellStyle name="Moneda" xfId="2" builtinId="4"/>
    <cellStyle name="Moneda [0]" xfId="3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Juan Diego Ayala</author>
  </authors>
  <commentList>
    <comment ref="L13" authorId="0" shapeId="0">
      <text>
        <t xml:space="preserve">Juan Diego Ayala:
Se fue a la mezcla
</t>
      </text>
    </comment>
    <comment ref="L24" authorId="0" shapeId="0">
      <text>
        <t xml:space="preserve">Juan Diego Ayala:
Se fue a la mezcla
</t>
      </text>
    </comment>
  </commentList>
</comments>
</file>

<file path=xl/comments/comment2.xml><?xml version="1.0" encoding="utf-8"?>
<comments xmlns="http://schemas.openxmlformats.org/spreadsheetml/2006/main">
  <authors>
    <author>Juan Diego Ayala</author>
  </authors>
  <commentList>
    <comment ref="O12" authorId="0" shapeId="0">
      <text>
        <t xml:space="preserve">Juan Diego Ayala:
Se va a la mezcla
</t>
      </text>
    </comment>
    <comment ref="O14" authorId="0" shapeId="0">
      <text>
        <t xml:space="preserve">Juan Diego Ayala:
Se va a la mezcla
</t>
      </text>
    </comment>
    <comment ref="O15" authorId="0" shapeId="0">
      <text>
        <t xml:space="preserve">Juan Diego Ayala:
Se va a la mezcla
</t>
      </text>
    </comment>
    <comment ref="O22" authorId="0" shapeId="0">
      <text>
        <t xml:space="preserve">Juan Diego Ayala:
Se va a la mezcla
</t>
      </text>
    </comment>
    <comment ref="O24" authorId="0" shapeId="0">
      <text>
        <t xml:space="preserve">Juan Diego Ayala:
Se va a la mezcla
</t>
      </text>
    </comment>
    <comment ref="O25" authorId="0" shapeId="0">
      <text>
        <t xml:space="preserve">Juan Diego Ayala:
Se va a la mezcla
</t>
      </text>
    </comment>
    <comment ref="O26" authorId="0" shapeId="0">
      <text>
        <t xml:space="preserve">Juan Diego Ayala:
Se va a la mezcla
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tabSelected="1" topLeftCell="A4" workbookViewId="0">
      <selection activeCell="D21" sqref="D21"/>
    </sheetView>
  </sheetViews>
  <sheetFormatPr baseColWidth="10" defaultRowHeight="15"/>
  <cols>
    <col width="17.140625" bestFit="1" customWidth="1" min="2" max="2"/>
    <col width="19.5703125" bestFit="1" customWidth="1" min="3" max="3"/>
    <col width="13.5703125" customWidth="1" min="8" max="8"/>
    <col width="12.28515625" customWidth="1" min="20" max="20"/>
    <col width="12.5703125" customWidth="1" min="21" max="21"/>
    <col width="13.85546875" customWidth="1" min="22" max="22"/>
  </cols>
  <sheetData>
    <row r="1">
      <c r="F1" s="51" t="inlineStr">
        <is>
          <t>Economicos</t>
        </is>
      </c>
      <c r="G1" s="52" t="n"/>
    </row>
    <row r="2">
      <c r="F2" s="1" t="inlineStr">
        <is>
          <t>Brent</t>
        </is>
      </c>
      <c r="G2" s="8" t="n">
        <v>70</v>
      </c>
    </row>
    <row r="3">
      <c r="F3" s="2" t="inlineStr">
        <is>
          <t>TRM</t>
        </is>
      </c>
      <c r="G3" s="3" t="n">
        <v>4100</v>
      </c>
    </row>
    <row r="4">
      <c r="F4" s="2" t="inlineStr">
        <is>
          <t xml:space="preserve">VLSFO </t>
        </is>
      </c>
      <c r="G4" s="9" t="n">
        <v>10</v>
      </c>
    </row>
    <row r="5">
      <c r="F5" s="2" t="inlineStr">
        <is>
          <t>HSFO</t>
        </is>
      </c>
      <c r="G5" s="9" t="n">
        <v>7</v>
      </c>
    </row>
    <row r="6">
      <c r="F6" s="2" t="inlineStr">
        <is>
          <t>MGO</t>
        </is>
      </c>
      <c r="G6" s="9" t="n">
        <v>20</v>
      </c>
    </row>
    <row r="7">
      <c r="F7" s="2" t="inlineStr">
        <is>
          <t xml:space="preserve">NAFTA </t>
        </is>
      </c>
      <c r="G7" s="9" t="n">
        <v>5</v>
      </c>
    </row>
    <row r="8">
      <c r="F8" s="2" t="inlineStr">
        <is>
          <t>GASOIL</t>
        </is>
      </c>
      <c r="G8" s="9" t="n">
        <v>25</v>
      </c>
    </row>
    <row r="9">
      <c r="F9" s="4" t="inlineStr">
        <is>
          <t>FUELOIL</t>
        </is>
      </c>
      <c r="G9" s="17" t="n">
        <v>7</v>
      </c>
    </row>
    <row r="10" ht="15.75" customHeight="1" thickBot="1"/>
    <row r="11" ht="15.75" customHeight="1" thickBot="1">
      <c r="A11" s="5" t="inlineStr">
        <is>
          <t>ESCENARIO</t>
        </is>
      </c>
      <c r="B11" s="25" t="inlineStr">
        <is>
          <t>COMPRAS</t>
        </is>
      </c>
      <c r="C11" s="53" t="n"/>
      <c r="D11" s="54" t="inlineStr">
        <is>
          <t>VOLUMEN</t>
        </is>
      </c>
      <c r="E11" s="53" t="n"/>
      <c r="F11" s="53" t="n"/>
      <c r="G11" s="53" t="n"/>
      <c r="H11" s="53" t="n"/>
      <c r="I11" s="53" t="n"/>
      <c r="J11" s="53" t="n"/>
      <c r="K11" s="53" t="n"/>
      <c r="L11" s="55" t="n"/>
      <c r="M11" s="54" t="inlineStr">
        <is>
          <t>INGRESOS</t>
        </is>
      </c>
      <c r="N11" s="53" t="n"/>
      <c r="O11" s="53" t="n"/>
      <c r="P11" s="53" t="n"/>
      <c r="Q11" s="53" t="n"/>
      <c r="R11" s="55" t="n"/>
      <c r="S11" s="56" t="inlineStr">
        <is>
          <t>COSTOS</t>
        </is>
      </c>
      <c r="T11" s="53" t="n"/>
      <c r="U11" s="53" t="n"/>
      <c r="V11" s="57" t="n"/>
      <c r="W11" s="29" t="inlineStr">
        <is>
          <t>UTILIDAD</t>
        </is>
      </c>
    </row>
    <row r="12" ht="15.75" customHeight="1" thickBot="1">
      <c r="A12" s="6" t="n"/>
      <c r="B12" s="7" t="inlineStr">
        <is>
          <t xml:space="preserve">CRUDO </t>
        </is>
      </c>
      <c r="C12" s="7" t="inlineStr">
        <is>
          <t>VOLUMEN COMPRADO</t>
        </is>
      </c>
      <c r="D12" s="11" t="inlineStr">
        <is>
          <t>TOTAL</t>
        </is>
      </c>
      <c r="E12" s="11" t="inlineStr">
        <is>
          <t>A REFINAR</t>
        </is>
      </c>
      <c r="F12" s="12" t="inlineStr">
        <is>
          <t>A MEZCLA</t>
        </is>
      </c>
      <c r="G12" s="11" t="inlineStr">
        <is>
          <t>VLSFO</t>
        </is>
      </c>
      <c r="H12" s="12" t="inlineStr">
        <is>
          <t>HSFO</t>
        </is>
      </c>
      <c r="I12" s="12" t="inlineStr">
        <is>
          <t>MGO</t>
        </is>
      </c>
      <c r="J12" s="11" t="inlineStr">
        <is>
          <t>NAFTA</t>
        </is>
      </c>
      <c r="K12" s="11" t="inlineStr">
        <is>
          <t>GASOIL</t>
        </is>
      </c>
      <c r="L12" s="11" t="inlineStr">
        <is>
          <t>FUEILOIL</t>
        </is>
      </c>
      <c r="M12" s="11" t="inlineStr">
        <is>
          <t>VLSFO</t>
        </is>
      </c>
      <c r="N12" s="12" t="inlineStr">
        <is>
          <t>HSFO</t>
        </is>
      </c>
      <c r="O12" s="11" t="inlineStr">
        <is>
          <t>MGO</t>
        </is>
      </c>
      <c r="P12" s="11" t="inlineStr">
        <is>
          <t>NAFTA</t>
        </is>
      </c>
      <c r="Q12" s="11" t="inlineStr">
        <is>
          <t>GASOIL</t>
        </is>
      </c>
      <c r="R12" s="11" t="inlineStr">
        <is>
          <t>FUEOIL</t>
        </is>
      </c>
      <c r="S12" s="11" t="inlineStr">
        <is>
          <t>OPERACIÓN</t>
        </is>
      </c>
      <c r="T12" s="11" t="inlineStr">
        <is>
          <t>REFINACION</t>
        </is>
      </c>
      <c r="U12" s="11" t="inlineStr">
        <is>
          <t>PRODUCTO</t>
        </is>
      </c>
      <c r="V12" s="11" t="inlineStr">
        <is>
          <t>TRANSPORTE</t>
        </is>
      </c>
      <c r="W12" s="58" t="n"/>
    </row>
    <row r="13" ht="14.45" customHeight="1">
      <c r="A13" s="59" t="n">
        <v>1</v>
      </c>
      <c r="B13" s="10" t="inlineStr">
        <is>
          <t>CARRIZALES</t>
        </is>
      </c>
      <c r="C13" s="10" t="n">
        <v>600</v>
      </c>
      <c r="D13" s="60">
        <f>SUM(C13:C20)</f>
        <v/>
      </c>
      <c r="E13" s="60">
        <f>J13+K13+L13</f>
        <v/>
      </c>
      <c r="F13" s="60">
        <f>D13-E13</f>
        <v/>
      </c>
      <c r="G13" s="61">
        <f>F13+L13</f>
        <v/>
      </c>
      <c r="H13" s="61" t="n">
        <v>0</v>
      </c>
      <c r="I13" s="61" t="n">
        <v>0</v>
      </c>
      <c r="J13" s="62" t="n">
        <v>369</v>
      </c>
      <c r="K13" s="62" t="n">
        <v>908</v>
      </c>
      <c r="L13" s="63" t="n">
        <v>1042</v>
      </c>
      <c r="M13" s="64" t="n">
        <v>177187</v>
      </c>
      <c r="N13" s="64" t="n">
        <v>0</v>
      </c>
      <c r="O13" s="64" t="n">
        <v>0</v>
      </c>
      <c r="P13" s="64" t="n">
        <v>27688</v>
      </c>
      <c r="Q13" s="64" t="n">
        <v>86328</v>
      </c>
      <c r="R13" s="64" t="n">
        <v>0</v>
      </c>
      <c r="S13" s="64" t="n">
        <v>4965</v>
      </c>
      <c r="T13" s="64" t="n">
        <v>9280</v>
      </c>
      <c r="U13" s="64" t="n">
        <v>241961</v>
      </c>
      <c r="V13" s="64" t="n">
        <v>28638</v>
      </c>
      <c r="W13" s="64">
        <f>SUM(M13:R20)-SUM(S13:V20)</f>
        <v/>
      </c>
    </row>
    <row r="14" ht="14.45" customHeight="1">
      <c r="A14" s="65" t="n"/>
      <c r="B14" s="10" t="inlineStr">
        <is>
          <t>COMBUSTOLEO</t>
        </is>
      </c>
      <c r="C14" s="18" t="n">
        <v>194</v>
      </c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</row>
    <row r="15" ht="14.45" customHeight="1">
      <c r="A15" s="65" t="n"/>
      <c r="B15" s="10" t="inlineStr">
        <is>
          <t>DOROTEA</t>
        </is>
      </c>
      <c r="C15" s="10" t="n">
        <v>250</v>
      </c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</row>
    <row r="16">
      <c r="A16" s="65" t="n"/>
      <c r="B16" s="10" t="inlineStr">
        <is>
          <t>F06</t>
        </is>
      </c>
      <c r="C16" s="10" t="n">
        <v>240</v>
      </c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</row>
    <row r="17">
      <c r="A17" s="65" t="n"/>
      <c r="B17" s="10" t="inlineStr">
        <is>
          <t>INDICO</t>
        </is>
      </c>
      <c r="C17" s="10" t="n">
        <v>1200</v>
      </c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</row>
    <row r="18">
      <c r="A18" s="65" t="n"/>
      <c r="B18" s="10" t="inlineStr">
        <is>
          <t>TAPIR</t>
        </is>
      </c>
      <c r="C18" s="10" t="n">
        <v>750</v>
      </c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</row>
    <row r="19">
      <c r="A19" s="65" t="n"/>
      <c r="B19" s="10" t="inlineStr">
        <is>
          <t>TULIPAN</t>
        </is>
      </c>
      <c r="C19" s="10" t="n">
        <v>120</v>
      </c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</row>
    <row r="20">
      <c r="A20" s="67" t="n"/>
      <c r="B20" s="10" t="inlineStr">
        <is>
          <t>TURPIAL</t>
        </is>
      </c>
      <c r="C20" s="10" t="n">
        <v>100</v>
      </c>
      <c r="D20" s="68" t="n"/>
      <c r="E20" s="68" t="n"/>
      <c r="F20" s="68" t="n"/>
      <c r="G20" s="68" t="n"/>
      <c r="H20" s="68" t="n"/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</row>
    <row r="21" ht="15.75" customHeight="1" thickBot="1"/>
    <row r="22" ht="15.75" customHeight="1" thickBot="1">
      <c r="A22" s="5" t="inlineStr">
        <is>
          <t>ESCENARIO</t>
        </is>
      </c>
      <c r="B22" s="25" t="inlineStr">
        <is>
          <t>COMPRAS</t>
        </is>
      </c>
      <c r="C22" s="53" t="n"/>
      <c r="D22" s="54" t="inlineStr">
        <is>
          <t>VOLUMEN</t>
        </is>
      </c>
      <c r="E22" s="53" t="n"/>
      <c r="F22" s="53" t="n"/>
      <c r="G22" s="53" t="n"/>
      <c r="H22" s="53" t="n"/>
      <c r="I22" s="53" t="n"/>
      <c r="J22" s="53" t="n"/>
      <c r="K22" s="53" t="n"/>
      <c r="L22" s="55" t="n"/>
      <c r="M22" s="54" t="inlineStr">
        <is>
          <t>INGRESOS</t>
        </is>
      </c>
      <c r="N22" s="53" t="n"/>
      <c r="O22" s="53" t="n"/>
      <c r="P22" s="53" t="n"/>
      <c r="Q22" s="53" t="n"/>
      <c r="R22" s="55" t="n"/>
      <c r="S22" s="56" t="inlineStr">
        <is>
          <t>COSTOS</t>
        </is>
      </c>
      <c r="T22" s="53" t="n"/>
      <c r="U22" s="53" t="n"/>
      <c r="V22" s="57" t="n"/>
      <c r="W22" s="29" t="inlineStr">
        <is>
          <t>UTILIDAD</t>
        </is>
      </c>
    </row>
    <row r="23" ht="15.75" customHeight="1" thickBot="1">
      <c r="A23" s="6" t="n"/>
      <c r="B23" s="7" t="inlineStr">
        <is>
          <t xml:space="preserve">CRUDO </t>
        </is>
      </c>
      <c r="C23" s="7" t="inlineStr">
        <is>
          <t>VOLUMEN COMPRADO</t>
        </is>
      </c>
      <c r="D23" s="11" t="inlineStr">
        <is>
          <t>TOTAL</t>
        </is>
      </c>
      <c r="E23" s="11" t="inlineStr">
        <is>
          <t>A REFINAR</t>
        </is>
      </c>
      <c r="F23" s="12" t="inlineStr">
        <is>
          <t>A MEZCLA</t>
        </is>
      </c>
      <c r="G23" s="11" t="inlineStr">
        <is>
          <t>VLSFO</t>
        </is>
      </c>
      <c r="H23" s="12" t="inlineStr">
        <is>
          <t>HSFO</t>
        </is>
      </c>
      <c r="I23" s="12" t="inlineStr">
        <is>
          <t>MGO</t>
        </is>
      </c>
      <c r="J23" s="11" t="inlineStr">
        <is>
          <t>NAFTA</t>
        </is>
      </c>
      <c r="K23" s="11" t="inlineStr">
        <is>
          <t>GASOIL</t>
        </is>
      </c>
      <c r="L23" s="11" t="inlineStr">
        <is>
          <t>FUEILOIL</t>
        </is>
      </c>
      <c r="M23" s="11" t="inlineStr">
        <is>
          <t>VLSFO</t>
        </is>
      </c>
      <c r="N23" s="12" t="inlineStr">
        <is>
          <t>HSFO</t>
        </is>
      </c>
      <c r="O23" s="11" t="inlineStr">
        <is>
          <t>MGO</t>
        </is>
      </c>
      <c r="P23" s="11" t="inlineStr">
        <is>
          <t>NAFTA</t>
        </is>
      </c>
      <c r="Q23" s="11" t="inlineStr">
        <is>
          <t>GASOIL</t>
        </is>
      </c>
      <c r="R23" s="11" t="inlineStr">
        <is>
          <t>FUEOIL</t>
        </is>
      </c>
      <c r="S23" s="11" t="inlineStr">
        <is>
          <t>OPERACIÓN</t>
        </is>
      </c>
      <c r="T23" s="11" t="inlineStr">
        <is>
          <t>REFINACION</t>
        </is>
      </c>
      <c r="U23" s="11" t="inlineStr">
        <is>
          <t>PRODUCTO</t>
        </is>
      </c>
      <c r="V23" s="11" t="inlineStr">
        <is>
          <t>TRANSPORTE</t>
        </is>
      </c>
      <c r="W23" s="58" t="n"/>
    </row>
    <row r="24">
      <c r="A24" s="59" t="n">
        <v>2</v>
      </c>
      <c r="B24" s="10" t="inlineStr">
        <is>
          <t>COMBUSTOLEO</t>
        </is>
      </c>
      <c r="C24" s="10" t="n">
        <v>194</v>
      </c>
      <c r="D24" s="60">
        <f>SUM(C24:C30)</f>
        <v/>
      </c>
      <c r="E24" s="60">
        <f>J24+K24+L24</f>
        <v/>
      </c>
      <c r="F24" s="60">
        <f>D24-E24</f>
        <v/>
      </c>
      <c r="G24" s="61">
        <f>F24+L24</f>
        <v/>
      </c>
      <c r="H24" s="61" t="n">
        <v>0</v>
      </c>
      <c r="I24" s="61" t="n">
        <v>0</v>
      </c>
      <c r="J24" s="62" t="n">
        <v>369</v>
      </c>
      <c r="K24" s="62" t="n">
        <v>908</v>
      </c>
      <c r="L24" s="63" t="n">
        <v>1042</v>
      </c>
      <c r="M24" s="64" t="n">
        <v>177187</v>
      </c>
      <c r="N24" s="64" t="n">
        <v>0</v>
      </c>
      <c r="O24" s="64" t="n">
        <v>0</v>
      </c>
      <c r="P24" s="64" t="n">
        <v>27688</v>
      </c>
      <c r="Q24" s="64" t="n">
        <v>86328</v>
      </c>
      <c r="R24" s="64" t="n">
        <v>80241</v>
      </c>
      <c r="S24" s="64" t="n">
        <v>4965</v>
      </c>
      <c r="T24" s="64" t="n">
        <v>9280</v>
      </c>
      <c r="U24" s="64" t="n">
        <v>241961</v>
      </c>
      <c r="V24" s="64" t="n">
        <v>28637</v>
      </c>
      <c r="W24" s="64">
        <f>SUM(M24:R30)-SUM(S24:V30)</f>
        <v/>
      </c>
    </row>
    <row r="25">
      <c r="A25" s="65" t="n"/>
      <c r="B25" s="10" t="inlineStr">
        <is>
          <t>DOROTEA</t>
        </is>
      </c>
      <c r="C25" s="10" t="n">
        <v>250</v>
      </c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</row>
    <row r="26">
      <c r="A26" s="65" t="n"/>
      <c r="B26" s="10" t="inlineStr">
        <is>
          <t>F06</t>
        </is>
      </c>
      <c r="C26" s="10" t="n">
        <v>240</v>
      </c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</row>
    <row r="27">
      <c r="A27" s="65" t="n"/>
      <c r="B27" s="10" t="inlineStr">
        <is>
          <t>INDICO</t>
        </is>
      </c>
      <c r="C27" s="10" t="n">
        <v>1200</v>
      </c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</row>
    <row r="28">
      <c r="A28" s="65" t="n"/>
      <c r="B28" s="10" t="inlineStr">
        <is>
          <t>TAPIR</t>
        </is>
      </c>
      <c r="C28" s="10" t="n">
        <v>750</v>
      </c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</row>
    <row r="29">
      <c r="A29" s="65" t="n"/>
      <c r="B29" s="10" t="inlineStr">
        <is>
          <t>TULIPAN</t>
        </is>
      </c>
      <c r="C29" s="10" t="n">
        <v>120</v>
      </c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</row>
    <row r="30">
      <c r="A30" s="67" t="n"/>
      <c r="B30" s="10" t="inlineStr">
        <is>
          <t>TURPIAL</t>
        </is>
      </c>
      <c r="C30" s="10" t="n">
        <v>100</v>
      </c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</row>
  </sheetData>
  <mergeCells count="53">
    <mergeCell ref="T13:T20"/>
    <mergeCell ref="I13:I20"/>
    <mergeCell ref="K13:K20"/>
    <mergeCell ref="D11:L11"/>
    <mergeCell ref="J24:J30"/>
    <mergeCell ref="V24:V30"/>
    <mergeCell ref="W13:W20"/>
    <mergeCell ref="R24:R30"/>
    <mergeCell ref="B22:C22"/>
    <mergeCell ref="M22:R22"/>
    <mergeCell ref="G24:G30"/>
    <mergeCell ref="O13:O20"/>
    <mergeCell ref="I24:I30"/>
    <mergeCell ref="U24:U30"/>
    <mergeCell ref="D24:D30"/>
    <mergeCell ref="Q13:Q20"/>
    <mergeCell ref="M11:R11"/>
    <mergeCell ref="J13:J20"/>
    <mergeCell ref="L13:L20"/>
    <mergeCell ref="R13:R20"/>
    <mergeCell ref="B11:C11"/>
    <mergeCell ref="S22:V22"/>
    <mergeCell ref="W22:W23"/>
    <mergeCell ref="M24:M30"/>
    <mergeCell ref="S24:S30"/>
    <mergeCell ref="L24:L30"/>
    <mergeCell ref="P24:P30"/>
    <mergeCell ref="V13:V20"/>
    <mergeCell ref="E13:E20"/>
    <mergeCell ref="K24:K30"/>
    <mergeCell ref="G13:G20"/>
    <mergeCell ref="W11:W12"/>
    <mergeCell ref="S13:S20"/>
    <mergeCell ref="H24:H30"/>
    <mergeCell ref="N24:N30"/>
    <mergeCell ref="D13:D20"/>
    <mergeCell ref="A24:A30"/>
    <mergeCell ref="S11:V11"/>
    <mergeCell ref="T24:T30"/>
    <mergeCell ref="E24:E30"/>
    <mergeCell ref="Q24:Q30"/>
    <mergeCell ref="F24:F30"/>
    <mergeCell ref="M13:M20"/>
    <mergeCell ref="U13:U20"/>
    <mergeCell ref="F13:F20"/>
    <mergeCell ref="H13:H20"/>
    <mergeCell ref="N13:N20"/>
    <mergeCell ref="P13:P20"/>
    <mergeCell ref="W24:W30"/>
    <mergeCell ref="D22:L22"/>
    <mergeCell ref="O24:O30"/>
    <mergeCell ref="F1:G1"/>
    <mergeCell ref="A13:A20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8:O27"/>
  <sheetViews>
    <sheetView showGridLines="0" topLeftCell="D4" workbookViewId="0">
      <selection activeCell="I10" sqref="I10:I17"/>
    </sheetView>
  </sheetViews>
  <sheetFormatPr baseColWidth="10" defaultRowHeight="15"/>
  <cols>
    <col width="16.5703125" customWidth="1" min="4" max="5"/>
    <col width="20.7109375" customWidth="1" min="6" max="6"/>
  </cols>
  <sheetData>
    <row r="7" ht="15.75" customHeight="1" thickBot="1"/>
    <row r="8" ht="15.75" customHeight="1" thickBot="1">
      <c r="D8" s="5" t="inlineStr">
        <is>
          <t>ESCENARIO</t>
        </is>
      </c>
      <c r="E8" s="69" t="inlineStr">
        <is>
          <t>COMPRAS</t>
        </is>
      </c>
      <c r="F8" s="55" t="n"/>
      <c r="G8" s="54" t="inlineStr">
        <is>
          <t>VOLUMEN</t>
        </is>
      </c>
      <c r="H8" s="53" t="n"/>
      <c r="I8" s="53" t="n"/>
      <c r="J8" s="53" t="n"/>
      <c r="K8" s="53" t="n"/>
      <c r="L8" s="53" t="n"/>
      <c r="M8" s="53" t="n"/>
      <c r="N8" s="53" t="n"/>
      <c r="O8" s="55" t="n"/>
    </row>
    <row r="9" ht="15.75" customHeight="1" thickBot="1">
      <c r="D9" s="6" t="n"/>
      <c r="E9" s="13" t="inlineStr">
        <is>
          <t xml:space="preserve">CRUDO </t>
        </is>
      </c>
      <c r="F9" s="13" t="inlineStr">
        <is>
          <t>VOLUMEN COMPRADO</t>
        </is>
      </c>
      <c r="G9" s="11" t="inlineStr">
        <is>
          <t>TOTAL</t>
        </is>
      </c>
      <c r="H9" s="11" t="inlineStr">
        <is>
          <t>A REFINAR</t>
        </is>
      </c>
      <c r="I9" s="12" t="inlineStr">
        <is>
          <t>A MEZCLA</t>
        </is>
      </c>
      <c r="J9" s="11" t="inlineStr">
        <is>
          <t>VLSFO</t>
        </is>
      </c>
      <c r="K9" s="12" t="inlineStr">
        <is>
          <t>HSFO</t>
        </is>
      </c>
      <c r="L9" s="12" t="inlineStr">
        <is>
          <t>MGO</t>
        </is>
      </c>
      <c r="M9" s="11" t="inlineStr">
        <is>
          <t>NAFTA</t>
        </is>
      </c>
      <c r="N9" s="11" t="inlineStr">
        <is>
          <t>GASOIL</t>
        </is>
      </c>
      <c r="O9" s="11" t="inlineStr">
        <is>
          <t>FUEILOIL</t>
        </is>
      </c>
    </row>
    <row r="10" ht="14.45" customHeight="1">
      <c r="D10" s="59" t="n">
        <v>1</v>
      </c>
      <c r="E10" s="10" t="inlineStr">
        <is>
          <t>CARRIZALES</t>
        </is>
      </c>
      <c r="F10" s="10" t="n">
        <v>600</v>
      </c>
      <c r="G10" s="20">
        <f>SUM(J10:O10)</f>
        <v/>
      </c>
      <c r="H10" s="20">
        <f>SUM(M10:O10)</f>
        <v/>
      </c>
      <c r="I10" s="14" t="n">
        <v>600</v>
      </c>
      <c r="J10" s="15" t="n">
        <v>600</v>
      </c>
      <c r="K10" s="15" t="n">
        <v>0</v>
      </c>
      <c r="L10" s="15" t="n">
        <v>0</v>
      </c>
      <c r="M10" s="16" t="n">
        <v>0</v>
      </c>
      <c r="N10" s="16" t="n">
        <v>0</v>
      </c>
      <c r="O10" s="16" t="n">
        <v>0</v>
      </c>
    </row>
    <row r="11" ht="14.45" customHeight="1">
      <c r="D11" s="65" t="n"/>
      <c r="E11" s="10" t="inlineStr">
        <is>
          <t>COMBUSTOLEO</t>
        </is>
      </c>
      <c r="F11" s="10" t="inlineStr">
        <is>
          <t xml:space="preserve">194
</t>
        </is>
      </c>
      <c r="G11" s="20">
        <f>SUM(J11:O11)</f>
        <v/>
      </c>
      <c r="H11" s="20" t="n">
        <v>0</v>
      </c>
      <c r="I11" s="14" t="n">
        <v>194</v>
      </c>
      <c r="J11" s="15" t="n">
        <v>194</v>
      </c>
      <c r="K11" s="15" t="n">
        <v>0</v>
      </c>
      <c r="L11" s="15" t="n">
        <v>0</v>
      </c>
      <c r="M11" s="16" t="n">
        <v>0</v>
      </c>
      <c r="N11" s="16" t="n">
        <v>0</v>
      </c>
      <c r="O11" s="16" t="n">
        <v>0</v>
      </c>
    </row>
    <row r="12" ht="14.45" customHeight="1">
      <c r="D12" s="65" t="n"/>
      <c r="E12" s="10" t="inlineStr">
        <is>
          <t>DOROTEA</t>
        </is>
      </c>
      <c r="F12" s="10" t="n">
        <v>250</v>
      </c>
      <c r="G12" s="20">
        <f>SUM(J12:N12)</f>
        <v/>
      </c>
      <c r="H12" s="20" t="n">
        <v>250</v>
      </c>
      <c r="I12" s="14" t="n">
        <v>0</v>
      </c>
      <c r="J12" s="15" t="n">
        <v>88</v>
      </c>
      <c r="K12" s="15" t="n">
        <v>0</v>
      </c>
      <c r="L12" s="15" t="n">
        <v>0</v>
      </c>
      <c r="M12" s="16" t="n">
        <v>37</v>
      </c>
      <c r="N12" s="16" t="n">
        <v>125</v>
      </c>
      <c r="O12" s="16" t="n">
        <v>88</v>
      </c>
    </row>
    <row r="13">
      <c r="D13" s="65" t="n"/>
      <c r="E13" s="10" t="inlineStr">
        <is>
          <t>F06</t>
        </is>
      </c>
      <c r="F13" s="10" t="n">
        <v>240</v>
      </c>
      <c r="G13" s="20">
        <f>SUM(J13:O13)</f>
        <v/>
      </c>
      <c r="H13" s="20">
        <f>SUM(M13:O13)</f>
        <v/>
      </c>
      <c r="I13" s="14">
        <f>SUM(J13:L13)</f>
        <v/>
      </c>
      <c r="J13" s="15" t="n">
        <v>240</v>
      </c>
      <c r="K13" s="15" t="n">
        <v>0</v>
      </c>
      <c r="L13" s="15" t="n">
        <v>0</v>
      </c>
      <c r="M13" s="16" t="n">
        <v>0</v>
      </c>
      <c r="N13" s="16" t="n">
        <v>0</v>
      </c>
      <c r="O13" s="16" t="n">
        <v>0</v>
      </c>
    </row>
    <row r="14">
      <c r="D14" s="65" t="n"/>
      <c r="E14" s="10" t="inlineStr">
        <is>
          <t>INDICO</t>
        </is>
      </c>
      <c r="F14" s="10" t="n">
        <v>1200</v>
      </c>
      <c r="G14" s="20">
        <f>SUM(J14:N14)</f>
        <v/>
      </c>
      <c r="H14" s="20">
        <f>SUM(M14:O14)</f>
        <v/>
      </c>
      <c r="I14" s="14" t="n">
        <v>0</v>
      </c>
      <c r="J14" s="15" t="n">
        <v>434</v>
      </c>
      <c r="K14" s="15" t="n">
        <v>0</v>
      </c>
      <c r="L14" s="15" t="n">
        <v>0</v>
      </c>
      <c r="M14" s="16" t="n">
        <v>239</v>
      </c>
      <c r="N14" s="16" t="n">
        <v>527</v>
      </c>
      <c r="O14" s="16" t="n">
        <v>434</v>
      </c>
    </row>
    <row r="15">
      <c r="D15" s="65" t="n"/>
      <c r="E15" s="10" t="inlineStr">
        <is>
          <t>TAPIR</t>
        </is>
      </c>
      <c r="F15" s="10" t="n">
        <v>750</v>
      </c>
      <c r="G15" s="20">
        <f>SUM(J15:N15)</f>
        <v/>
      </c>
      <c r="H15" s="20" t="n">
        <v>750</v>
      </c>
      <c r="I15" s="14" t="n">
        <v>0</v>
      </c>
      <c r="J15" s="15" t="n">
        <v>450</v>
      </c>
      <c r="K15" s="15" t="n">
        <v>0</v>
      </c>
      <c r="L15" s="15" t="n">
        <v>0</v>
      </c>
      <c r="M15" s="16" t="n">
        <v>75</v>
      </c>
      <c r="N15" s="16" t="n">
        <v>225</v>
      </c>
      <c r="O15" s="16" t="n">
        <v>450</v>
      </c>
    </row>
    <row r="16">
      <c r="D16" s="65" t="n"/>
      <c r="E16" s="10" t="inlineStr">
        <is>
          <t>TULIPAN</t>
        </is>
      </c>
      <c r="F16" s="10" t="n">
        <v>120</v>
      </c>
      <c r="G16" s="20" t="n">
        <v>120</v>
      </c>
      <c r="H16" s="20">
        <f>SUM(M16:O16)</f>
        <v/>
      </c>
      <c r="I16" s="14" t="n">
        <v>0</v>
      </c>
      <c r="J16" s="15" t="n">
        <v>71</v>
      </c>
      <c r="K16" s="15" t="n">
        <v>0</v>
      </c>
      <c r="L16" s="15" t="n">
        <v>0</v>
      </c>
      <c r="M16" s="15" t="n">
        <v>18</v>
      </c>
      <c r="N16" s="15" t="n">
        <v>31</v>
      </c>
      <c r="O16" s="15" t="n">
        <v>71</v>
      </c>
    </row>
    <row r="17">
      <c r="D17" s="67" t="n"/>
      <c r="E17" s="19" t="inlineStr">
        <is>
          <t>TURPIAL</t>
        </is>
      </c>
      <c r="F17" s="19" t="n">
        <v>100</v>
      </c>
      <c r="G17" s="21" t="n">
        <v>100</v>
      </c>
      <c r="H17" s="21" t="n">
        <v>0</v>
      </c>
      <c r="I17" s="14">
        <f>SUM(J17:L17)</f>
        <v/>
      </c>
      <c r="J17" s="21" t="n">
        <v>100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</row>
    <row r="18" ht="15.75" customHeight="1" thickBot="1"/>
    <row r="19" ht="15.75" customHeight="1" thickBot="1">
      <c r="D19" s="5" t="inlineStr">
        <is>
          <t>ESCENARIO</t>
        </is>
      </c>
      <c r="E19" s="69" t="inlineStr">
        <is>
          <t>COMPRAS</t>
        </is>
      </c>
      <c r="F19" s="55" t="n"/>
      <c r="G19" s="54" t="inlineStr">
        <is>
          <t>VOLUMEN</t>
        </is>
      </c>
      <c r="H19" s="53" t="n"/>
      <c r="I19" s="53" t="n"/>
      <c r="J19" s="53" t="n"/>
      <c r="K19" s="53" t="n"/>
      <c r="L19" s="53" t="n"/>
      <c r="M19" s="53" t="n"/>
      <c r="N19" s="53" t="n"/>
      <c r="O19" s="55" t="n"/>
    </row>
    <row r="20" ht="15.75" customHeight="1" thickBot="1">
      <c r="D20" s="6" t="n"/>
      <c r="E20" s="13" t="inlineStr">
        <is>
          <t xml:space="preserve">CRUDO </t>
        </is>
      </c>
      <c r="F20" s="13" t="inlineStr">
        <is>
          <t>VOLUMEN COMPRADO</t>
        </is>
      </c>
      <c r="G20" s="11" t="inlineStr">
        <is>
          <t>TOTAL</t>
        </is>
      </c>
      <c r="H20" s="11" t="inlineStr">
        <is>
          <t>A REFINAR</t>
        </is>
      </c>
      <c r="I20" s="12" t="inlineStr">
        <is>
          <t>A MEZCLA</t>
        </is>
      </c>
      <c r="J20" s="11" t="inlineStr">
        <is>
          <t>VLSFO</t>
        </is>
      </c>
      <c r="K20" s="12" t="inlineStr">
        <is>
          <t>HSFO</t>
        </is>
      </c>
      <c r="L20" s="12" t="inlineStr">
        <is>
          <t>MGO</t>
        </is>
      </c>
      <c r="M20" s="11" t="inlineStr">
        <is>
          <t>NAFTA</t>
        </is>
      </c>
      <c r="N20" s="11" t="inlineStr">
        <is>
          <t>GASOIL</t>
        </is>
      </c>
      <c r="O20" s="11" t="inlineStr">
        <is>
          <t>FUEILOIL</t>
        </is>
      </c>
    </row>
    <row r="21">
      <c r="D21" s="59" t="n">
        <v>2</v>
      </c>
      <c r="E21" s="10" t="inlineStr">
        <is>
          <t>COMBUSTOLEO</t>
        </is>
      </c>
      <c r="F21" s="10" t="n">
        <v>194</v>
      </c>
      <c r="G21" s="14" t="n">
        <v>194</v>
      </c>
      <c r="H21" s="14" t="n">
        <v>0</v>
      </c>
      <c r="I21" s="14" t="n">
        <v>194</v>
      </c>
      <c r="J21" s="15" t="n">
        <v>194</v>
      </c>
      <c r="K21" s="15" t="n">
        <v>0</v>
      </c>
      <c r="L21" s="15" t="n">
        <v>0</v>
      </c>
      <c r="M21" s="16" t="n">
        <v>0</v>
      </c>
      <c r="N21" s="16" t="n">
        <v>0</v>
      </c>
      <c r="O21" s="16" t="n">
        <v>0</v>
      </c>
    </row>
    <row r="22">
      <c r="D22" s="65" t="n"/>
      <c r="E22" s="10" t="inlineStr">
        <is>
          <t>DOROTEA</t>
        </is>
      </c>
      <c r="F22" s="10" t="n">
        <v>250</v>
      </c>
      <c r="G22" s="14" t="n">
        <v>337</v>
      </c>
      <c r="H22" s="14" t="n">
        <v>250</v>
      </c>
      <c r="I22" s="14" t="n">
        <v>0</v>
      </c>
      <c r="J22" s="15" t="n">
        <v>87</v>
      </c>
      <c r="K22" s="15" t="n">
        <v>0</v>
      </c>
      <c r="L22" s="15" t="n">
        <v>0</v>
      </c>
      <c r="M22" s="16" t="n">
        <v>37</v>
      </c>
      <c r="N22" s="16" t="n">
        <v>125</v>
      </c>
      <c r="O22" s="16" t="n">
        <v>87</v>
      </c>
    </row>
    <row r="23">
      <c r="D23" s="65" t="n"/>
      <c r="E23" s="10" t="inlineStr">
        <is>
          <t>F06</t>
        </is>
      </c>
      <c r="F23" s="10" t="n">
        <v>240</v>
      </c>
      <c r="G23" s="14" t="n">
        <v>240</v>
      </c>
      <c r="H23" s="14" t="n">
        <v>0</v>
      </c>
      <c r="I23" s="14" t="n">
        <v>240</v>
      </c>
      <c r="J23" s="15" t="n">
        <v>240</v>
      </c>
      <c r="K23" s="15" t="n">
        <v>0</v>
      </c>
      <c r="L23" s="15" t="n">
        <v>0</v>
      </c>
      <c r="M23" s="16" t="n">
        <v>0</v>
      </c>
      <c r="N23" s="16" t="n">
        <v>0</v>
      </c>
      <c r="O23" s="16" t="n">
        <v>0</v>
      </c>
    </row>
    <row r="24">
      <c r="D24" s="65" t="n"/>
      <c r="E24" s="10" t="inlineStr">
        <is>
          <t>INDICO</t>
        </is>
      </c>
      <c r="F24" s="10" t="n">
        <v>1200</v>
      </c>
      <c r="G24" s="14" t="n">
        <v>1633</v>
      </c>
      <c r="H24" s="14" t="n">
        <v>1200</v>
      </c>
      <c r="I24" s="14" t="n">
        <v>0</v>
      </c>
      <c r="J24" s="15" t="n">
        <v>433</v>
      </c>
      <c r="K24" s="15" t="n">
        <v>0</v>
      </c>
      <c r="L24" s="15" t="n">
        <v>0</v>
      </c>
      <c r="M24" s="16" t="n">
        <v>238</v>
      </c>
      <c r="N24" s="16" t="n">
        <v>527</v>
      </c>
      <c r="O24" s="16" t="n">
        <v>433</v>
      </c>
    </row>
    <row r="25">
      <c r="D25" s="65" t="n"/>
      <c r="E25" s="10" t="inlineStr">
        <is>
          <t>TAPIR</t>
        </is>
      </c>
      <c r="F25" s="10" t="n">
        <v>750</v>
      </c>
      <c r="G25" s="14" t="n">
        <v>1200</v>
      </c>
      <c r="H25" s="14" t="n">
        <v>750</v>
      </c>
      <c r="I25" s="14" t="n">
        <v>0</v>
      </c>
      <c r="J25" s="15" t="n">
        <v>450</v>
      </c>
      <c r="K25" s="15" t="n">
        <v>0</v>
      </c>
      <c r="L25" s="15" t="n">
        <v>0</v>
      </c>
      <c r="M25" s="16" t="n">
        <v>75</v>
      </c>
      <c r="N25" s="16" t="n">
        <v>225</v>
      </c>
      <c r="O25" s="16" t="n">
        <v>450</v>
      </c>
    </row>
    <row r="26">
      <c r="D26" s="65" t="n"/>
      <c r="E26" s="10" t="inlineStr">
        <is>
          <t>TULIPAN</t>
        </is>
      </c>
      <c r="F26" s="10" t="n">
        <v>120</v>
      </c>
      <c r="G26" s="14" t="n">
        <v>190</v>
      </c>
      <c r="H26" s="14" t="n">
        <v>120</v>
      </c>
      <c r="I26" s="14" t="n">
        <v>0</v>
      </c>
      <c r="J26" s="15" t="n">
        <v>70</v>
      </c>
      <c r="K26" s="15" t="n">
        <v>0</v>
      </c>
      <c r="L26" s="15" t="n">
        <v>0</v>
      </c>
      <c r="M26" s="16" t="n">
        <v>18</v>
      </c>
      <c r="N26" s="16" t="n">
        <v>31</v>
      </c>
      <c r="O26" s="16" t="n">
        <v>70</v>
      </c>
    </row>
    <row r="27">
      <c r="D27" s="67" t="n"/>
      <c r="E27" s="10" t="inlineStr">
        <is>
          <t>TURPIAL</t>
        </is>
      </c>
      <c r="F27" s="10" t="n">
        <v>100</v>
      </c>
      <c r="G27" s="14" t="n">
        <v>100</v>
      </c>
      <c r="H27" s="14" t="n">
        <v>0</v>
      </c>
      <c r="I27" s="14" t="n">
        <v>100</v>
      </c>
      <c r="J27" s="15" t="n">
        <v>100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</row>
  </sheetData>
  <mergeCells count="6">
    <mergeCell ref="G19:O19"/>
    <mergeCell ref="E19:F19"/>
    <mergeCell ref="D10:D17"/>
    <mergeCell ref="G8:O8"/>
    <mergeCell ref="E8:F8"/>
    <mergeCell ref="D21:D27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Diego Ayala</dc:creator>
  <dcterms:created xsi:type="dcterms:W3CDTF">2025-01-24T21:41:26Z</dcterms:created>
  <dcterms:modified xsi:type="dcterms:W3CDTF">2026-05-20T16:59:37Z</dcterms:modified>
  <cp:lastModifiedBy>Juan Diego Ayala</cp:lastModifiedBy>
</cp:coreProperties>
</file>